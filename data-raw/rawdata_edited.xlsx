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shawkels\Kelsey - Caetano - Linda\Sampling &amp; Field &amp; Lab\Raw Data\0 - raw_data\"/>
    </mc:Choice>
  </mc:AlternateContent>
  <bookViews>
    <workbookView xWindow="-120" yWindow="-120" windowWidth="29040" windowHeight="15720" tabRatio="661" activeTab="3"/>
  </bookViews>
  <sheets>
    <sheet name="survey" sheetId="16" r:id="rId1"/>
    <sheet name="volaser" sheetId="19" r:id="rId2"/>
    <sheet name="gas" sheetId="28" r:id="rId3"/>
    <sheet name="parameters" sheetId="15" r:id="rId4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7" i="15" l="1"/>
  <c r="P26" i="15"/>
  <c r="T15" i="15"/>
  <c r="S15" i="15"/>
  <c r="T13" i="15"/>
  <c r="S13" i="15"/>
  <c r="D7" i="28" l="1"/>
  <c r="E62" i="15" l="1"/>
  <c r="E59" i="15"/>
  <c r="H20" i="19" l="1"/>
  <c r="H19" i="19"/>
  <c r="G7" i="16" l="1"/>
  <c r="F7" i="16"/>
</calcChain>
</file>

<file path=xl/sharedStrings.xml><?xml version="1.0" encoding="utf-8"?>
<sst xmlns="http://schemas.openxmlformats.org/spreadsheetml/2006/main" count="1882" uniqueCount="402">
  <si>
    <t>pH</t>
  </si>
  <si>
    <t>04-Saanich-12042023</t>
  </si>
  <si>
    <t>2b</t>
  </si>
  <si>
    <t>2a</t>
  </si>
  <si>
    <t>1a</t>
  </si>
  <si>
    <t>1b</t>
  </si>
  <si>
    <t>03-Saanich-12042023</t>
  </si>
  <si>
    <t>01-Pender-06042023</t>
  </si>
  <si>
    <t>02-Pender-06042023</t>
  </si>
  <si>
    <t>T</t>
  </si>
  <si>
    <t>M</t>
  </si>
  <si>
    <t>B</t>
  </si>
  <si>
    <t>Household</t>
  </si>
  <si>
    <t>Saanich</t>
  </si>
  <si>
    <t>Old pipe, holding tank with pump, suspects leaking groundwater in winter, contents of tank very clear</t>
  </si>
  <si>
    <t>Septic field above - pumps up, 6 bathrooms, 2 kitchens, second chamber sampled</t>
  </si>
  <si>
    <t>Cement lined lid, two chambered</t>
  </si>
  <si>
    <t>05-SSI-19042023</t>
  </si>
  <si>
    <t>3a</t>
  </si>
  <si>
    <t>06-SSI-19042023</t>
  </si>
  <si>
    <t>3b</t>
  </si>
  <si>
    <t>07-NS-2604223</t>
  </si>
  <si>
    <t>08-NS-26042023</t>
  </si>
  <si>
    <t>4a</t>
  </si>
  <si>
    <t>4b</t>
  </si>
  <si>
    <t>Thick scum layer</t>
  </si>
  <si>
    <t>Pump issue, pink scum layer</t>
  </si>
  <si>
    <t xml:space="preserve">Household, small pink scum layer </t>
  </si>
  <si>
    <t>09-PL-09052023</t>
  </si>
  <si>
    <t>10-DC-09052023</t>
  </si>
  <si>
    <t>5a</t>
  </si>
  <si>
    <t>5b</t>
  </si>
  <si>
    <t>School</t>
  </si>
  <si>
    <t>Sampled from aerobic settling chamber - see image of layout taken from control box. pH probe was not reading right - offset by a factor of 2 likely due to a loose connection</t>
  </si>
  <si>
    <t>Scum layer had floating solids</t>
  </si>
  <si>
    <t>6a</t>
  </si>
  <si>
    <t>6b</t>
  </si>
  <si>
    <t>11-NS-25052023</t>
  </si>
  <si>
    <t>12-NS-25052023</t>
  </si>
  <si>
    <t>13-PI-31052023</t>
  </si>
  <si>
    <t>7a</t>
  </si>
  <si>
    <t>14-PI-31052023</t>
  </si>
  <si>
    <t>7b</t>
  </si>
  <si>
    <t>15-PI-31052023</t>
  </si>
  <si>
    <t>7c</t>
  </si>
  <si>
    <t xml:space="preserve">Pender Island </t>
  </si>
  <si>
    <t>Office building</t>
  </si>
  <si>
    <t xml:space="preserve">Community Hall Pender Island </t>
  </si>
  <si>
    <t xml:space="preserve">Household </t>
  </si>
  <si>
    <t xml:space="preserve">Library Pender </t>
  </si>
  <si>
    <t>16-DC-07062023</t>
  </si>
  <si>
    <t>8a</t>
  </si>
  <si>
    <t>8b</t>
  </si>
  <si>
    <t>17-DC-07062023</t>
  </si>
  <si>
    <t>18-PI-08062023</t>
  </si>
  <si>
    <t>19-PI-08062023</t>
  </si>
  <si>
    <t>20-PI-08062023</t>
  </si>
  <si>
    <t>9a</t>
  </si>
  <si>
    <t>9b</t>
  </si>
  <si>
    <t>9c</t>
  </si>
  <si>
    <t>NA</t>
  </si>
  <si>
    <t>Household deep cove</t>
  </si>
  <si>
    <t>really old tank household deep cove</t>
  </si>
  <si>
    <t>Pender Island household</t>
  </si>
  <si>
    <t>Could not measure volume; double thick scum layer</t>
  </si>
  <si>
    <t>21-PI-21062023</t>
  </si>
  <si>
    <t>22-MET-21062023</t>
  </si>
  <si>
    <t>10a</t>
  </si>
  <si>
    <t>10b</t>
  </si>
  <si>
    <t>Metchosin</t>
  </si>
  <si>
    <t>Golf Course</t>
  </si>
  <si>
    <t xml:space="preserve">Old tank </t>
  </si>
  <si>
    <t>Salt Spring Island</t>
  </si>
  <si>
    <t>No</t>
  </si>
  <si>
    <t>Own</t>
  </si>
  <si>
    <t>Septic tank</t>
  </si>
  <si>
    <t>Fully lined (watertight)</t>
  </si>
  <si>
    <t>Fiberglass</t>
  </si>
  <si>
    <t>I don't know</t>
  </si>
  <si>
    <t>Yes</t>
  </si>
  <si>
    <t xml:space="preserve">Septic leach field </t>
  </si>
  <si>
    <t>Cistern flush</t>
  </si>
  <si>
    <t>Paper</t>
  </si>
  <si>
    <t xml:space="preserve">Bleach </t>
  </si>
  <si>
    <t>Toilet Bathing Laundry Kitchen</t>
  </si>
  <si>
    <t>Tap inside building</t>
  </si>
  <si>
    <t>More than 10 years old</t>
  </si>
  <si>
    <t>Technician/Mason</t>
  </si>
  <si>
    <t>Don't know - bought house less than 6 years ago</t>
  </si>
  <si>
    <t xml:space="preserve">Leach field - second tank is aerated </t>
  </si>
  <si>
    <t>Bleach, CLR</t>
  </si>
  <si>
    <t>Every 15 years</t>
  </si>
  <si>
    <t>Na</t>
  </si>
  <si>
    <t xml:space="preserve">Drainage field </t>
  </si>
  <si>
    <t>Kitchen Laundry Bathing Toilet</t>
  </si>
  <si>
    <t xml:space="preserve">5 years </t>
  </si>
  <si>
    <t>Concrete</t>
  </si>
  <si>
    <t>Leach field</t>
  </si>
  <si>
    <t xml:space="preserve">Na </t>
  </si>
  <si>
    <t>Toilet Bathing</t>
  </si>
  <si>
    <t xml:space="preserve">I don't know </t>
  </si>
  <si>
    <t xml:space="preserve">6 ish years </t>
  </si>
  <si>
    <t xml:space="preserve">Leach field </t>
  </si>
  <si>
    <t>Paper Water</t>
  </si>
  <si>
    <t xml:space="preserve">Every 5 years </t>
  </si>
  <si>
    <t xml:space="preserve">Leech field </t>
  </si>
  <si>
    <t>6 - 10 years old</t>
  </si>
  <si>
    <t>Professional engineer</t>
  </si>
  <si>
    <t>Leech field</t>
  </si>
  <si>
    <t>Every ten years</t>
  </si>
  <si>
    <t xml:space="preserve">Bionest treatment plant </t>
  </si>
  <si>
    <t>Toilet</t>
  </si>
  <si>
    <t>Twice per year</t>
  </si>
  <si>
    <t xml:space="preserve">Treatment plant </t>
  </si>
  <si>
    <t xml:space="preserve">Wastewater treatment unit </t>
  </si>
  <si>
    <t>Bio additives / enzymes</t>
  </si>
  <si>
    <t xml:space="preserve">Septonic </t>
  </si>
  <si>
    <t>5 years</t>
  </si>
  <si>
    <t>1 2oz pack every 3-4 months</t>
  </si>
  <si>
    <t xml:space="preserve">Pro-pump septic packets </t>
  </si>
  <si>
    <t>5-6 years</t>
  </si>
  <si>
    <t>Leach</t>
  </si>
  <si>
    <t xml:space="preserve">Regular cleaners </t>
  </si>
  <si>
    <t xml:space="preserve">5-6 years </t>
  </si>
  <si>
    <t>Toilet Kitchen</t>
  </si>
  <si>
    <t>5-7 years</t>
  </si>
  <si>
    <t>PVC or plastic</t>
  </si>
  <si>
    <t>3-5 years</t>
  </si>
  <si>
    <t xml:space="preserve">Regular household cleaners </t>
  </si>
  <si>
    <t xml:space="preserve">Every 2-3 years </t>
  </si>
  <si>
    <t>Rent</t>
  </si>
  <si>
    <t>Water</t>
  </si>
  <si>
    <t>9-10 years</t>
  </si>
  <si>
    <t>Every 5 years</t>
  </si>
  <si>
    <t>Toilet Laundry Kitchen</t>
  </si>
  <si>
    <t xml:space="preserve">Thick scum layer, two households connected (one main and one airbnb, equalization tank pumps both to septic field. </t>
  </si>
  <si>
    <t>Commercial place</t>
  </si>
  <si>
    <t xml:space="preserve">Very shallow, only took one sample, bio additives added. </t>
  </si>
  <si>
    <t>Thick scum, bio additives added</t>
  </si>
  <si>
    <t>38.7</t>
  </si>
  <si>
    <t>32.4</t>
  </si>
  <si>
    <t>64.9</t>
  </si>
  <si>
    <t>63.6</t>
  </si>
  <si>
    <t>66.0</t>
  </si>
  <si>
    <t>808</t>
  </si>
  <si>
    <t>648</t>
  </si>
  <si>
    <t>699</t>
  </si>
  <si>
    <t>98.2</t>
  </si>
  <si>
    <t>1371</t>
  </si>
  <si>
    <t>161</t>
  </si>
  <si>
    <t>828</t>
  </si>
  <si>
    <t>70.4</t>
  </si>
  <si>
    <t>39.1</t>
  </si>
  <si>
    <t>83.9</t>
  </si>
  <si>
    <t>462</t>
  </si>
  <si>
    <t>454</t>
  </si>
  <si>
    <t>237</t>
  </si>
  <si>
    <t>71.2</t>
  </si>
  <si>
    <t>76.9</t>
  </si>
  <si>
    <t>1020</t>
  </si>
  <si>
    <t>473</t>
  </si>
  <si>
    <t>631</t>
  </si>
  <si>
    <t>45.2</t>
  </si>
  <si>
    <t>223</t>
  </si>
  <si>
    <t>168</t>
  </si>
  <si>
    <t>156</t>
  </si>
  <si>
    <t>112</t>
  </si>
  <si>
    <t>424</t>
  </si>
  <si>
    <t>441</t>
  </si>
  <si>
    <t>561</t>
  </si>
  <si>
    <t>687</t>
  </si>
  <si>
    <t>625</t>
  </si>
  <si>
    <t>1145</t>
  </si>
  <si>
    <t>629</t>
  </si>
  <si>
    <t>users</t>
  </si>
  <si>
    <t>flux_ch4</t>
  </si>
  <si>
    <t>flux_co2</t>
  </si>
  <si>
    <t>flux_n20</t>
  </si>
  <si>
    <t>sample_id</t>
  </si>
  <si>
    <t>location_id</t>
  </si>
  <si>
    <t>date</t>
  </si>
  <si>
    <t>local_area_name</t>
  </si>
  <si>
    <t>establishment_type</t>
  </si>
  <si>
    <t>last_emptied</t>
  </si>
  <si>
    <t>shared_toilet</t>
  </si>
  <si>
    <t xml:space="preserve">Commercial  </t>
  </si>
  <si>
    <t>Other</t>
  </si>
  <si>
    <t>rent_or_own</t>
  </si>
  <si>
    <t>containment</t>
  </si>
  <si>
    <t>lining</t>
  </si>
  <si>
    <t>lining_material</t>
  </si>
  <si>
    <t>change_in_liquid_level</t>
  </si>
  <si>
    <t>baffles</t>
  </si>
  <si>
    <t>outflow</t>
  </si>
  <si>
    <t>outflow_location</t>
  </si>
  <si>
    <t>toilet_type</t>
  </si>
  <si>
    <t>anal_cleansing_material</t>
  </si>
  <si>
    <t>paper</t>
  </si>
  <si>
    <t>water</t>
  </si>
  <si>
    <t>additives</t>
  </si>
  <si>
    <t>frequency</t>
  </si>
  <si>
    <t>chemicals</t>
  </si>
  <si>
    <t>wastewater_type</t>
  </si>
  <si>
    <t>toilet</t>
  </si>
  <si>
    <t>bathing</t>
  </si>
  <si>
    <t>laundry</t>
  </si>
  <si>
    <t>kitchen</t>
  </si>
  <si>
    <t>water_connection</t>
  </si>
  <si>
    <t>where</t>
  </si>
  <si>
    <t>tap_inside_building</t>
  </si>
  <si>
    <t>standpipe</t>
  </si>
  <si>
    <t>containment_age</t>
  </si>
  <si>
    <t>containment_constructed</t>
  </si>
  <si>
    <t>containment_volume</t>
  </si>
  <si>
    <t>fully_emptied</t>
  </si>
  <si>
    <t>emptying_interval</t>
  </si>
  <si>
    <t>rainy_season</t>
  </si>
  <si>
    <t>solid_waste</t>
  </si>
  <si>
    <t>type</t>
  </si>
  <si>
    <t>notes</t>
  </si>
  <si>
    <t>area</t>
  </si>
  <si>
    <t>sludge_depth</t>
  </si>
  <si>
    <t>containment_depth</t>
  </si>
  <si>
    <t>fs_volume</t>
  </si>
  <si>
    <t>accumulation_rate</t>
  </si>
  <si>
    <t>scum_depth</t>
  </si>
  <si>
    <t>depth_id</t>
  </si>
  <si>
    <t>DO</t>
  </si>
  <si>
    <t>temperature</t>
  </si>
  <si>
    <t>EC</t>
  </si>
  <si>
    <t>ORP</t>
  </si>
  <si>
    <t>COD</t>
  </si>
  <si>
    <t>sulphide</t>
  </si>
  <si>
    <t>nitrite</t>
  </si>
  <si>
    <t>total_nitrogen</t>
  </si>
  <si>
    <t>soluble_COD</t>
  </si>
  <si>
    <t>nitrate</t>
  </si>
  <si>
    <t>ammonia</t>
  </si>
  <si>
    <t>TKN</t>
  </si>
  <si>
    <t>ortho_phosphorous</t>
  </si>
  <si>
    <t>total_phosphorous</t>
  </si>
  <si>
    <t>BOD</t>
  </si>
  <si>
    <t>TOC</t>
  </si>
  <si>
    <t>sand_content</t>
  </si>
  <si>
    <t>tss</t>
  </si>
  <si>
    <t>ts</t>
  </si>
  <si>
    <t>vs</t>
  </si>
  <si>
    <t>vs_percent</t>
  </si>
  <si>
    <t>vss</t>
  </si>
  <si>
    <t>vss_tss</t>
  </si>
  <si>
    <t>01-K-15012024</t>
  </si>
  <si>
    <t>02-K-16012024</t>
  </si>
  <si>
    <t>03-K-16012024</t>
  </si>
  <si>
    <t>04-K-16012024</t>
  </si>
  <si>
    <t>05-K-16012024</t>
  </si>
  <si>
    <t>06-KS-22012024</t>
  </si>
  <si>
    <t>07-NJ-23012024</t>
  </si>
  <si>
    <t>08-KK-29012024</t>
  </si>
  <si>
    <t>09-KK-29012024</t>
  </si>
  <si>
    <t>10-KK-30012024</t>
  </si>
  <si>
    <t>11-KK-30012024</t>
  </si>
  <si>
    <t>12-KK-30012024</t>
  </si>
  <si>
    <t>13-KK-05022024</t>
  </si>
  <si>
    <t>14-KW-06022024</t>
  </si>
  <si>
    <t>15-KW-06022024</t>
  </si>
  <si>
    <t>16-KW-12022024</t>
  </si>
  <si>
    <t>17-KK-12022024</t>
  </si>
  <si>
    <t>18-KK-13022024</t>
  </si>
  <si>
    <t>19-KK13022024</t>
  </si>
  <si>
    <t>11a</t>
  </si>
  <si>
    <t>12a</t>
  </si>
  <si>
    <t>12b</t>
  </si>
  <si>
    <t>12c</t>
  </si>
  <si>
    <t>12d</t>
  </si>
  <si>
    <t>13a</t>
  </si>
  <si>
    <t>14a</t>
  </si>
  <si>
    <t>15a</t>
  </si>
  <si>
    <t>15b</t>
  </si>
  <si>
    <t>16a</t>
  </si>
  <si>
    <t>16b</t>
  </si>
  <si>
    <t>16c</t>
  </si>
  <si>
    <t>17a</t>
  </si>
  <si>
    <t>18a</t>
  </si>
  <si>
    <t>18b</t>
  </si>
  <si>
    <t>19a</t>
  </si>
  <si>
    <t>19b</t>
  </si>
  <si>
    <t>20a</t>
  </si>
  <si>
    <t>20b</t>
  </si>
  <si>
    <t>Kikoni</t>
  </si>
  <si>
    <t>Kisaasi</t>
  </si>
  <si>
    <t>Najjera</t>
  </si>
  <si>
    <t>Kikomi kikomi</t>
  </si>
  <si>
    <t>Kalwere</t>
  </si>
  <si>
    <t xml:space="preserve">Kalwere </t>
  </si>
  <si>
    <t xml:space="preserve">Kikomi kikomi </t>
  </si>
  <si>
    <t>Unlined</t>
  </si>
  <si>
    <t>Unlined - Dug</t>
  </si>
  <si>
    <t>Soak pit</t>
  </si>
  <si>
    <t>Pour-flush</t>
  </si>
  <si>
    <t>Pour-flush Cistern flush</t>
  </si>
  <si>
    <t>Liquid soap and bleach</t>
  </si>
  <si>
    <t>Antibacterial aid</t>
  </si>
  <si>
    <t>Toilet Bathing Laundry</t>
  </si>
  <si>
    <t>Kitchen Toilet Bathing Laundry</t>
  </si>
  <si>
    <t>Toilet Bathing Kitchen</t>
  </si>
  <si>
    <t>Kitchen Bathing Laundry</t>
  </si>
  <si>
    <t>Tap inside building Standpipe outside building</t>
  </si>
  <si>
    <t>Standpipe outside building</t>
  </si>
  <si>
    <t>1 - 5 years old</t>
  </si>
  <si>
    <t>Every two years</t>
  </si>
  <si>
    <t>Every 2 years</t>
  </si>
  <si>
    <t>1 every two years</t>
  </si>
  <si>
    <t>System has never been emptied</t>
  </si>
  <si>
    <t xml:space="preserve">Just new </t>
  </si>
  <si>
    <t>Every 4 months</t>
  </si>
  <si>
    <t>1 in every 6 years</t>
  </si>
  <si>
    <t>Once a year</t>
  </si>
  <si>
    <t>Every 5 months</t>
  </si>
  <si>
    <t>3 times a year</t>
  </si>
  <si>
    <t>Feminine products, condoms, plastic, etc.</t>
  </si>
  <si>
    <t>Feminine products, plastic</t>
  </si>
  <si>
    <t>Feminine products, lots of plastic waste</t>
  </si>
  <si>
    <t xml:space="preserve">Some plastic waste </t>
  </si>
  <si>
    <t>Plastic</t>
  </si>
  <si>
    <t>Feminine products, wood</t>
  </si>
  <si>
    <t>Feminine products, diapers, etc.</t>
  </si>
  <si>
    <t xml:space="preserve">Condoms, plastic wrappers, etc </t>
  </si>
  <si>
    <t>Feminine products</t>
  </si>
  <si>
    <t xml:space="preserve">Some plastic </t>
  </si>
  <si>
    <t>Condoms</t>
  </si>
  <si>
    <t xml:space="preserve">Feminine products, condoms, plastic </t>
  </si>
  <si>
    <t>Plastic and feminine products</t>
  </si>
  <si>
    <t>Guesthouse - Destiny</t>
  </si>
  <si>
    <t>4 tanks in one compound - large tank</t>
  </si>
  <si>
    <t>4 tanks compound - 2nd tank</t>
  </si>
  <si>
    <t>4 tank compound - first of two connected tanks</t>
  </si>
  <si>
    <t xml:space="preserve">4 tank compound - 2nd of divided tanks </t>
  </si>
  <si>
    <t>Apartments "sandec"</t>
  </si>
  <si>
    <t xml:space="preserve">Eric's place </t>
  </si>
  <si>
    <t>Apartments - Barber</t>
  </si>
  <si>
    <t xml:space="preserve">Hostel - Fatuma </t>
  </si>
  <si>
    <t>Apartments - two tanks (grey water)</t>
  </si>
  <si>
    <t>Apartments - Two tanks (blackwater)</t>
  </si>
  <si>
    <t xml:space="preserve">Hostel - Elizabeth exotic </t>
  </si>
  <si>
    <t>Chairman's place</t>
  </si>
  <si>
    <t>Old lady's house</t>
  </si>
  <si>
    <t>Boda boda house</t>
  </si>
  <si>
    <t>Guesthouse</t>
  </si>
  <si>
    <t xml:space="preserve">Robert's place </t>
  </si>
  <si>
    <t>MLK Hostel</t>
  </si>
  <si>
    <t>Open houses</t>
  </si>
  <si>
    <t>18-KK130202024</t>
  </si>
  <si>
    <t>19-K-13022024</t>
  </si>
  <si>
    <t>228</t>
  </si>
  <si>
    <t>1288</t>
  </si>
  <si>
    <t>51.0</t>
  </si>
  <si>
    <t>73.6</t>
  </si>
  <si>
    <t>56.6</t>
  </si>
  <si>
    <t>92.1</t>
  </si>
  <si>
    <t>82.6</t>
  </si>
  <si>
    <t>1867</t>
  </si>
  <si>
    <t>157</t>
  </si>
  <si>
    <t>1506</t>
  </si>
  <si>
    <t>1771</t>
  </si>
  <si>
    <t>1373</t>
  </si>
  <si>
    <t>743</t>
  </si>
  <si>
    <t>60.2</t>
  </si>
  <si>
    <t>96.6</t>
  </si>
  <si>
    <t>81.6</t>
  </si>
  <si>
    <t>1267</t>
  </si>
  <si>
    <t>71.1</t>
  </si>
  <si>
    <t>92.9</t>
  </si>
  <si>
    <t>2598</t>
  </si>
  <si>
    <t>79.5</t>
  </si>
  <si>
    <t>3785</t>
  </si>
  <si>
    <t>85.6</t>
  </si>
  <si>
    <t>5718</t>
  </si>
  <si>
    <t>167</t>
  </si>
  <si>
    <t>164</t>
  </si>
  <si>
    <t>7710</t>
  </si>
  <si>
    <t>1811</t>
  </si>
  <si>
    <t>361</t>
  </si>
  <si>
    <t>2212</t>
  </si>
  <si>
    <t>302</t>
  </si>
  <si>
    <t>215</t>
  </si>
  <si>
    <t>1131</t>
  </si>
  <si>
    <t>1767</t>
  </si>
  <si>
    <t>376</t>
  </si>
  <si>
    <t>2049</t>
  </si>
  <si>
    <t>9000</t>
  </si>
  <si>
    <t>2733</t>
  </si>
  <si>
    <t>42.1</t>
  </si>
  <si>
    <t>36.4</t>
  </si>
  <si>
    <t>2980</t>
  </si>
  <si>
    <t>66.3</t>
  </si>
  <si>
    <t>86.9</t>
  </si>
  <si>
    <t>78.7</t>
  </si>
  <si>
    <t>2382</t>
  </si>
  <si>
    <t>2027</t>
  </si>
  <si>
    <t>4836</t>
  </si>
  <si>
    <t>305</t>
  </si>
  <si>
    <t>13937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</si>
</sst>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"/>
    <numFmt numFmtId="165" formatCode="0.0000"/>
    <numFmt numFmtId="166" formatCode="[$-F800]dddd\,\ mmmm\ dd\,\ yyyy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9" fontId="2" fillId="0" borderId="1">
      <alignment horizontal="center" vertical="top"/>
    </xf>
  </cellStyleXfs>
  <cellXfs count="25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2" fontId="0" fillId="0" borderId="0" xfId="0" applyNumberFormat="1"/>
    <xf numFmtId="0" fontId="1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" fontId="0" fillId="0" borderId="0" xfId="0" applyNumberFormat="1"/>
    <xf numFmtId="166" fontId="0" fillId="0" borderId="0" xfId="0" applyNumberFormat="1" applyAlignment="1">
      <alignment horizontal="center"/>
    </xf>
    <xf numFmtId="0" fontId="0" fillId="0" borderId="0" xfId="0" applyFill="1" applyAlignment="1">
      <alignment horizontal="center"/>
    </xf>
    <xf numFmtId="0" fontId="1" fillId="0" borderId="0" xfId="0" applyFont="1" applyFill="1" applyAlignment="1">
      <alignment horizontal="center"/>
    </xf>
    <xf numFmtId="1" fontId="0" fillId="0" borderId="0" xfId="0" applyNumberFormat="1" applyFont="1" applyAlignment="1">
      <alignment horizontal="center"/>
    </xf>
    <xf numFmtId="2" fontId="0" fillId="0" borderId="0" xfId="0" applyNumberFormat="1" applyFont="1" applyAlignment="1">
      <alignment horizontal="center"/>
    </xf>
    <xf numFmtId="1" fontId="0" fillId="0" borderId="0" xfId="0" applyNumberFormat="1" applyFont="1" applyFill="1" applyAlignment="1">
      <alignment horizontal="center"/>
    </xf>
    <xf numFmtId="2" fontId="0" fillId="0" borderId="0" xfId="0" applyNumberFormat="1" applyAlignment="1">
      <alignment horizontal="center" vertical="center"/>
    </xf>
    <xf numFmtId="2" fontId="0" fillId="0" borderId="0" xfId="0" applyNumberFormat="1" applyFont="1" applyFill="1" applyAlignment="1">
      <alignment horizontal="center"/>
    </xf>
    <xf numFmtId="164" fontId="0" fillId="0" borderId="0" xfId="0" applyNumberFormat="1" applyAlignment="1">
      <alignment horizontal="center" vertical="center"/>
    </xf>
    <xf numFmtId="164" fontId="0" fillId="0" borderId="0" xfId="0" applyNumberFormat="1"/>
    <xf numFmtId="2" fontId="0" fillId="0" borderId="0" xfId="0" applyNumberFormat="1" applyFill="1" applyAlignment="1">
      <alignment horizontal="center"/>
    </xf>
    <xf numFmtId="2" fontId="0" fillId="0" borderId="0" xfId="0" applyNumberFormat="1" applyFill="1"/>
  </cellXfs>
  <cellStyles count="2">
    <cellStyle name="fmtMidLeft" xfId="1"/>
    <cellStyle name="Normal" xfId="0" builtinId="0"/>
  </cellStyles>
  <dxfs count="0"/>
  <tableStyles count="0" defaultTableStyle="TableStyleMedium2" defaultPivotStyle="PivotStyleLight16"/>
  <colors>
    <mruColors>
      <color rgb="FFC9E7A7"/>
      <color rgb="FFFF7D7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42"/>
  <sheetViews>
    <sheetView topLeftCell="A37" workbookViewId="0">
      <selection activeCell="F24" sqref="F24:F42"/>
    </sheetView>
  </sheetViews>
  <sheetFormatPr defaultRowHeight="14.5" x14ac:dyDescent="0.35"/>
  <cols>
    <col min="1" max="1" width="18.6328125" bestFit="1" customWidth="1"/>
    <col min="2" max="2" width="10.08984375" bestFit="1" customWidth="1"/>
    <col min="3" max="3" width="15.7265625" bestFit="1" customWidth="1"/>
    <col min="4" max="4" width="15.1796875" bestFit="1" customWidth="1"/>
    <col min="5" max="5" width="17.6328125" bestFit="1" customWidth="1"/>
    <col min="6" max="6" width="6.36328125" bestFit="1" customWidth="1"/>
    <col min="7" max="7" width="11.90625" bestFit="1" customWidth="1"/>
    <col min="8" max="8" width="12" bestFit="1" customWidth="1"/>
    <col min="9" max="9" width="11.81640625" bestFit="1" customWidth="1"/>
    <col min="10" max="10" width="24.1796875" bestFit="1" customWidth="1"/>
    <col min="11" max="11" width="19.6328125" bestFit="1" customWidth="1"/>
    <col min="13" max="13" width="19.90625" bestFit="1" customWidth="1"/>
    <col min="14" max="14" width="11.1796875" bestFit="1" customWidth="1"/>
    <col min="15" max="15" width="7.36328125" bestFit="1" customWidth="1"/>
    <col min="16" max="16" width="30.7265625" bestFit="1" customWidth="1"/>
    <col min="17" max="17" width="11.1796875" bestFit="1" customWidth="1"/>
    <col min="18" max="18" width="21.26953125" bestFit="1" customWidth="1"/>
    <col min="19" max="20" width="5.7265625" bestFit="1" customWidth="1"/>
    <col min="21" max="21" width="20.54296875" bestFit="1" customWidth="1"/>
    <col min="22" max="22" width="24.6328125" bestFit="1" customWidth="1"/>
    <col min="23" max="23" width="24.453125" bestFit="1" customWidth="1"/>
    <col min="24" max="24" width="26.26953125" bestFit="1" customWidth="1"/>
    <col min="25" max="25" width="5.26953125" bestFit="1" customWidth="1"/>
    <col min="26" max="27" width="7.1796875" bestFit="1" customWidth="1"/>
    <col min="28" max="28" width="7" bestFit="1" customWidth="1"/>
    <col min="29" max="29" width="16.08984375" bestFit="1" customWidth="1"/>
    <col min="30" max="30" width="16.453125" bestFit="1" customWidth="1"/>
    <col min="31" max="31" width="17.36328125" bestFit="1" customWidth="1"/>
    <col min="32" max="32" width="9.1796875" bestFit="1" customWidth="1"/>
    <col min="33" max="33" width="20.26953125" bestFit="1" customWidth="1"/>
    <col min="34" max="34" width="22.81640625" bestFit="1" customWidth="1"/>
    <col min="35" max="35" width="18.90625" bestFit="1" customWidth="1"/>
    <col min="36" max="36" width="12.36328125" bestFit="1" customWidth="1"/>
    <col min="37" max="37" width="41.7265625" bestFit="1" customWidth="1"/>
    <col min="38" max="38" width="11.81640625" bestFit="1" customWidth="1"/>
    <col min="39" max="39" width="10.7265625" bestFit="1" customWidth="1"/>
    <col min="40" max="40" width="35.453125" bestFit="1" customWidth="1"/>
    <col min="41" max="41" width="146.1796875" bestFit="1" customWidth="1"/>
  </cols>
  <sheetData>
    <row r="1" spans="1:41" x14ac:dyDescent="0.35">
      <c r="A1" s="4" t="s">
        <v>178</v>
      </c>
      <c r="B1" s="4" t="s">
        <v>179</v>
      </c>
      <c r="C1" s="4" t="s">
        <v>180</v>
      </c>
      <c r="D1" s="4" t="s">
        <v>181</v>
      </c>
      <c r="E1" s="4" t="s">
        <v>182</v>
      </c>
      <c r="F1" s="4" t="s">
        <v>174</v>
      </c>
      <c r="G1" s="4" t="s">
        <v>183</v>
      </c>
      <c r="H1" s="4" t="s">
        <v>184</v>
      </c>
      <c r="I1" s="1" t="s">
        <v>187</v>
      </c>
      <c r="J1" s="1" t="s">
        <v>188</v>
      </c>
      <c r="K1" s="1" t="s">
        <v>189</v>
      </c>
      <c r="L1" s="1" t="s">
        <v>190</v>
      </c>
      <c r="M1" s="1" t="s">
        <v>191</v>
      </c>
      <c r="N1" s="1" t="s">
        <v>192</v>
      </c>
      <c r="O1" s="1" t="s">
        <v>193</v>
      </c>
      <c r="P1" s="1" t="s">
        <v>194</v>
      </c>
      <c r="Q1" s="1" t="s">
        <v>195</v>
      </c>
      <c r="R1" s="1" t="s">
        <v>196</v>
      </c>
      <c r="S1" s="1" t="s">
        <v>197</v>
      </c>
      <c r="T1" s="1" t="s">
        <v>198</v>
      </c>
      <c r="U1" s="1" t="s">
        <v>199</v>
      </c>
      <c r="V1" s="1" t="s">
        <v>200</v>
      </c>
      <c r="W1" s="1" t="s">
        <v>201</v>
      </c>
      <c r="X1" s="1" t="s">
        <v>202</v>
      </c>
      <c r="Y1" s="1" t="s">
        <v>203</v>
      </c>
      <c r="Z1" s="1" t="s">
        <v>204</v>
      </c>
      <c r="AA1" s="1" t="s">
        <v>205</v>
      </c>
      <c r="AB1" s="1" t="s">
        <v>206</v>
      </c>
      <c r="AC1" s="1" t="s">
        <v>207</v>
      </c>
      <c r="AD1" s="1" t="s">
        <v>208</v>
      </c>
      <c r="AE1" s="1" t="s">
        <v>209</v>
      </c>
      <c r="AF1" s="1" t="s">
        <v>210</v>
      </c>
      <c r="AG1" s="1" t="s">
        <v>211</v>
      </c>
      <c r="AH1" s="1" t="s">
        <v>212</v>
      </c>
      <c r="AI1" s="1" t="s">
        <v>213</v>
      </c>
      <c r="AJ1" s="1" t="s">
        <v>214</v>
      </c>
      <c r="AK1" s="1" t="s">
        <v>215</v>
      </c>
      <c r="AL1" s="1" t="s">
        <v>216</v>
      </c>
      <c r="AM1" s="1" t="s">
        <v>217</v>
      </c>
      <c r="AN1" s="1" t="s">
        <v>218</v>
      </c>
      <c r="AO1" s="1" t="s">
        <v>219</v>
      </c>
    </row>
    <row r="2" spans="1:41" x14ac:dyDescent="0.35">
      <c r="A2" s="7" t="s">
        <v>7</v>
      </c>
      <c r="B2" s="7" t="s">
        <v>4</v>
      </c>
      <c r="C2" s="13">
        <v>45022</v>
      </c>
      <c r="D2" s="2" t="s">
        <v>45</v>
      </c>
      <c r="E2" s="2" t="s">
        <v>12</v>
      </c>
      <c r="F2" s="6">
        <v>2</v>
      </c>
      <c r="G2" s="6">
        <v>5</v>
      </c>
      <c r="H2" s="2" t="s">
        <v>73</v>
      </c>
      <c r="I2" s="2" t="s">
        <v>74</v>
      </c>
      <c r="J2" t="s">
        <v>75</v>
      </c>
      <c r="K2" t="s">
        <v>76</v>
      </c>
      <c r="L2" t="s">
        <v>77</v>
      </c>
      <c r="M2" t="s">
        <v>73</v>
      </c>
      <c r="N2" t="s">
        <v>78</v>
      </c>
      <c r="O2" t="s">
        <v>79</v>
      </c>
      <c r="P2" t="s">
        <v>89</v>
      </c>
      <c r="Q2" t="s">
        <v>81</v>
      </c>
      <c r="R2" t="s">
        <v>82</v>
      </c>
      <c r="S2" s="12">
        <v>1</v>
      </c>
      <c r="T2" s="12">
        <v>0</v>
      </c>
      <c r="U2" t="s">
        <v>73</v>
      </c>
      <c r="W2" t="s">
        <v>90</v>
      </c>
      <c r="X2" t="s">
        <v>84</v>
      </c>
      <c r="Y2" s="12">
        <v>1</v>
      </c>
      <c r="Z2" s="12">
        <v>1</v>
      </c>
      <c r="AA2" s="12">
        <v>1</v>
      </c>
      <c r="AB2" s="12">
        <v>1</v>
      </c>
      <c r="AC2" t="s">
        <v>79</v>
      </c>
      <c r="AD2" t="s">
        <v>85</v>
      </c>
      <c r="AE2" s="12">
        <v>1</v>
      </c>
      <c r="AF2" s="12">
        <v>0</v>
      </c>
      <c r="AG2" t="s">
        <v>86</v>
      </c>
      <c r="AH2" t="s">
        <v>87</v>
      </c>
      <c r="AI2" t="s">
        <v>78</v>
      </c>
      <c r="AJ2" t="s">
        <v>79</v>
      </c>
      <c r="AK2" t="s">
        <v>91</v>
      </c>
      <c r="AL2" t="s">
        <v>73</v>
      </c>
      <c r="AM2" t="s">
        <v>73</v>
      </c>
      <c r="AN2" t="s">
        <v>92</v>
      </c>
      <c r="AO2" t="s">
        <v>14</v>
      </c>
    </row>
    <row r="3" spans="1:41" x14ac:dyDescent="0.35">
      <c r="A3" s="2" t="s">
        <v>8</v>
      </c>
      <c r="B3" s="7" t="s">
        <v>5</v>
      </c>
      <c r="C3" s="13">
        <v>45022</v>
      </c>
      <c r="D3" s="2" t="s">
        <v>45</v>
      </c>
      <c r="E3" s="2" t="s">
        <v>12</v>
      </c>
      <c r="F3" s="6">
        <v>3</v>
      </c>
      <c r="G3" s="6">
        <v>1</v>
      </c>
      <c r="H3" s="2" t="s">
        <v>73</v>
      </c>
      <c r="I3" s="2" t="s">
        <v>74</v>
      </c>
      <c r="J3" t="s">
        <v>75</v>
      </c>
      <c r="K3" t="s">
        <v>76</v>
      </c>
      <c r="L3" t="s">
        <v>77</v>
      </c>
      <c r="M3" t="s">
        <v>73</v>
      </c>
      <c r="N3" t="s">
        <v>78</v>
      </c>
      <c r="O3" t="s">
        <v>79</v>
      </c>
      <c r="P3" t="s">
        <v>80</v>
      </c>
      <c r="Q3" t="s">
        <v>81</v>
      </c>
      <c r="R3" t="s">
        <v>82</v>
      </c>
      <c r="S3" s="12">
        <v>1</v>
      </c>
      <c r="T3" s="12">
        <v>0</v>
      </c>
      <c r="U3" t="s">
        <v>73</v>
      </c>
      <c r="W3" t="s">
        <v>83</v>
      </c>
      <c r="X3" t="s">
        <v>84</v>
      </c>
      <c r="Y3" s="12">
        <v>1</v>
      </c>
      <c r="Z3" s="12">
        <v>1</v>
      </c>
      <c r="AA3" s="12">
        <v>1</v>
      </c>
      <c r="AB3" s="12">
        <v>1</v>
      </c>
      <c r="AC3" t="s">
        <v>79</v>
      </c>
      <c r="AD3" t="s">
        <v>85</v>
      </c>
      <c r="AE3" s="12">
        <v>1</v>
      </c>
      <c r="AF3" s="12">
        <v>0</v>
      </c>
      <c r="AG3" t="s">
        <v>86</v>
      </c>
      <c r="AH3" t="s">
        <v>87</v>
      </c>
      <c r="AI3" t="s">
        <v>78</v>
      </c>
      <c r="AJ3" t="s">
        <v>79</v>
      </c>
      <c r="AK3" t="s">
        <v>88</v>
      </c>
      <c r="AL3" t="s">
        <v>73</v>
      </c>
      <c r="AM3" t="s">
        <v>73</v>
      </c>
      <c r="AN3" t="s">
        <v>60</v>
      </c>
      <c r="AO3" t="s">
        <v>135</v>
      </c>
    </row>
    <row r="4" spans="1:41" x14ac:dyDescent="0.35">
      <c r="A4" s="7" t="s">
        <v>6</v>
      </c>
      <c r="B4" s="7" t="s">
        <v>3</v>
      </c>
      <c r="C4" s="13">
        <v>45028</v>
      </c>
      <c r="D4" s="2" t="s">
        <v>13</v>
      </c>
      <c r="E4" s="2" t="s">
        <v>12</v>
      </c>
      <c r="F4" s="6">
        <v>2</v>
      </c>
      <c r="G4" s="6">
        <v>3</v>
      </c>
      <c r="H4" s="2" t="s">
        <v>79</v>
      </c>
      <c r="I4" s="2" t="s">
        <v>74</v>
      </c>
      <c r="J4" t="s">
        <v>75</v>
      </c>
      <c r="K4" t="s">
        <v>78</v>
      </c>
      <c r="L4" t="s">
        <v>77</v>
      </c>
      <c r="M4" t="s">
        <v>73</v>
      </c>
      <c r="N4" t="s">
        <v>78</v>
      </c>
      <c r="O4" t="s">
        <v>79</v>
      </c>
      <c r="P4" t="s">
        <v>93</v>
      </c>
      <c r="Q4" t="s">
        <v>81</v>
      </c>
      <c r="R4" t="s">
        <v>82</v>
      </c>
      <c r="S4" s="12">
        <v>1</v>
      </c>
      <c r="T4" s="12">
        <v>0</v>
      </c>
      <c r="U4" t="s">
        <v>73</v>
      </c>
      <c r="W4" t="s">
        <v>60</v>
      </c>
      <c r="X4" t="s">
        <v>94</v>
      </c>
      <c r="Y4" s="12">
        <v>1</v>
      </c>
      <c r="Z4" s="12">
        <v>1</v>
      </c>
      <c r="AA4" s="12">
        <v>1</v>
      </c>
      <c r="AB4" s="12">
        <v>1</v>
      </c>
      <c r="AC4" t="s">
        <v>79</v>
      </c>
      <c r="AD4" t="s">
        <v>85</v>
      </c>
      <c r="AE4" s="12">
        <v>1</v>
      </c>
      <c r="AF4" s="12">
        <v>0</v>
      </c>
      <c r="AG4" t="s">
        <v>86</v>
      </c>
      <c r="AH4" t="s">
        <v>87</v>
      </c>
      <c r="AI4" t="s">
        <v>78</v>
      </c>
      <c r="AJ4" t="s">
        <v>79</v>
      </c>
      <c r="AK4" t="s">
        <v>95</v>
      </c>
      <c r="AL4" t="s">
        <v>73</v>
      </c>
      <c r="AM4" t="s">
        <v>73</v>
      </c>
      <c r="AN4" t="s">
        <v>92</v>
      </c>
      <c r="AO4" t="s">
        <v>15</v>
      </c>
    </row>
    <row r="5" spans="1:41" x14ac:dyDescent="0.35">
      <c r="A5" s="2" t="s">
        <v>1</v>
      </c>
      <c r="B5" s="7" t="s">
        <v>2</v>
      </c>
      <c r="C5" s="13">
        <v>45028</v>
      </c>
      <c r="D5" s="2" t="s">
        <v>13</v>
      </c>
      <c r="E5" s="2" t="s">
        <v>12</v>
      </c>
      <c r="F5" s="6">
        <v>3</v>
      </c>
      <c r="G5" s="6">
        <v>6</v>
      </c>
      <c r="H5" s="2" t="s">
        <v>79</v>
      </c>
      <c r="I5" s="2" t="s">
        <v>74</v>
      </c>
      <c r="J5" t="s">
        <v>75</v>
      </c>
      <c r="K5" t="s">
        <v>76</v>
      </c>
      <c r="L5" t="s">
        <v>96</v>
      </c>
      <c r="M5" t="s">
        <v>73</v>
      </c>
      <c r="N5" t="s">
        <v>79</v>
      </c>
      <c r="O5" t="s">
        <v>79</v>
      </c>
      <c r="P5" t="s">
        <v>97</v>
      </c>
      <c r="Q5" t="s">
        <v>81</v>
      </c>
      <c r="R5" t="s">
        <v>82</v>
      </c>
      <c r="S5" s="12">
        <v>1</v>
      </c>
      <c r="T5" s="12">
        <v>0</v>
      </c>
      <c r="U5" t="s">
        <v>73</v>
      </c>
      <c r="W5" t="s">
        <v>98</v>
      </c>
      <c r="X5" t="s">
        <v>99</v>
      </c>
      <c r="Y5" s="12">
        <v>1</v>
      </c>
      <c r="Z5" s="12">
        <v>1</v>
      </c>
      <c r="AA5" s="12">
        <v>0</v>
      </c>
      <c r="AB5" s="12">
        <v>0</v>
      </c>
      <c r="AC5" t="s">
        <v>79</v>
      </c>
      <c r="AD5" t="s">
        <v>85</v>
      </c>
      <c r="AE5" s="12">
        <v>1</v>
      </c>
      <c r="AF5" s="12">
        <v>0</v>
      </c>
      <c r="AG5" t="s">
        <v>86</v>
      </c>
      <c r="AH5" t="s">
        <v>87</v>
      </c>
      <c r="AI5" t="s">
        <v>100</v>
      </c>
      <c r="AJ5" t="s">
        <v>79</v>
      </c>
      <c r="AK5" t="s">
        <v>101</v>
      </c>
      <c r="AL5" t="s">
        <v>73</v>
      </c>
      <c r="AM5" t="s">
        <v>73</v>
      </c>
      <c r="AN5" t="s">
        <v>92</v>
      </c>
      <c r="AO5" t="s">
        <v>16</v>
      </c>
    </row>
    <row r="6" spans="1:41" x14ac:dyDescent="0.35">
      <c r="A6" s="2" t="s">
        <v>17</v>
      </c>
      <c r="B6" s="7" t="s">
        <v>18</v>
      </c>
      <c r="C6" s="13">
        <v>45035</v>
      </c>
      <c r="D6" s="2" t="s">
        <v>72</v>
      </c>
      <c r="E6" s="2" t="s">
        <v>12</v>
      </c>
      <c r="F6" s="6">
        <v>2</v>
      </c>
      <c r="G6" s="6">
        <v>2</v>
      </c>
      <c r="H6" s="2" t="s">
        <v>73</v>
      </c>
      <c r="I6" s="2" t="s">
        <v>74</v>
      </c>
      <c r="J6" t="s">
        <v>75</v>
      </c>
      <c r="K6" t="s">
        <v>76</v>
      </c>
      <c r="L6" t="s">
        <v>96</v>
      </c>
      <c r="M6" t="s">
        <v>73</v>
      </c>
      <c r="N6" t="s">
        <v>79</v>
      </c>
      <c r="O6" t="s">
        <v>79</v>
      </c>
      <c r="P6" t="s">
        <v>102</v>
      </c>
      <c r="Q6" t="s">
        <v>81</v>
      </c>
      <c r="R6" t="s">
        <v>103</v>
      </c>
      <c r="S6" s="12">
        <v>1</v>
      </c>
      <c r="T6" s="12">
        <v>1</v>
      </c>
      <c r="U6" t="s">
        <v>73</v>
      </c>
      <c r="W6" t="s">
        <v>92</v>
      </c>
      <c r="X6" t="s">
        <v>84</v>
      </c>
      <c r="Y6" s="12">
        <v>1</v>
      </c>
      <c r="Z6" s="12">
        <v>1</v>
      </c>
      <c r="AA6" s="12">
        <v>1</v>
      </c>
      <c r="AB6" s="12">
        <v>1</v>
      </c>
      <c r="AC6" t="s">
        <v>79</v>
      </c>
      <c r="AD6" t="s">
        <v>85</v>
      </c>
      <c r="AE6" s="12">
        <v>1</v>
      </c>
      <c r="AF6" s="12">
        <v>0</v>
      </c>
      <c r="AG6" t="s">
        <v>86</v>
      </c>
      <c r="AH6" t="s">
        <v>87</v>
      </c>
      <c r="AI6" t="s">
        <v>100</v>
      </c>
      <c r="AJ6" t="s">
        <v>79</v>
      </c>
      <c r="AK6" t="s">
        <v>104</v>
      </c>
      <c r="AL6" t="s">
        <v>73</v>
      </c>
      <c r="AM6" t="s">
        <v>73</v>
      </c>
      <c r="AN6" t="s">
        <v>92</v>
      </c>
      <c r="AO6" t="s">
        <v>25</v>
      </c>
    </row>
    <row r="7" spans="1:41" x14ac:dyDescent="0.35">
      <c r="A7" s="2" t="s">
        <v>19</v>
      </c>
      <c r="B7" s="7" t="s">
        <v>20</v>
      </c>
      <c r="C7" s="13">
        <v>45035</v>
      </c>
      <c r="D7" s="2" t="s">
        <v>72</v>
      </c>
      <c r="E7" s="2" t="s">
        <v>185</v>
      </c>
      <c r="F7" s="6">
        <f>410</f>
        <v>410</v>
      </c>
      <c r="G7" s="6">
        <f>1/12</f>
        <v>8.3333333333333329E-2</v>
      </c>
      <c r="H7" s="2" t="s">
        <v>60</v>
      </c>
      <c r="I7" s="2" t="s">
        <v>60</v>
      </c>
      <c r="J7" t="s">
        <v>75</v>
      </c>
      <c r="K7" t="s">
        <v>76</v>
      </c>
      <c r="L7" t="s">
        <v>96</v>
      </c>
      <c r="M7" t="s">
        <v>73</v>
      </c>
      <c r="N7" t="s">
        <v>79</v>
      </c>
      <c r="O7" t="s">
        <v>79</v>
      </c>
      <c r="P7" t="s">
        <v>110</v>
      </c>
      <c r="Q7" t="s">
        <v>81</v>
      </c>
      <c r="R7" t="s">
        <v>82</v>
      </c>
      <c r="S7" s="12">
        <v>1</v>
      </c>
      <c r="T7" s="12">
        <v>0</v>
      </c>
      <c r="U7" t="s">
        <v>73</v>
      </c>
      <c r="W7" t="s">
        <v>92</v>
      </c>
      <c r="X7" t="s">
        <v>111</v>
      </c>
      <c r="Y7" s="12">
        <v>1</v>
      </c>
      <c r="Z7" s="12">
        <v>0</v>
      </c>
      <c r="AA7" s="12">
        <v>0</v>
      </c>
      <c r="AB7" s="12">
        <v>0</v>
      </c>
      <c r="AC7" t="s">
        <v>79</v>
      </c>
      <c r="AD7" t="s">
        <v>85</v>
      </c>
      <c r="AE7" s="12">
        <v>1</v>
      </c>
      <c r="AF7" s="12">
        <v>0</v>
      </c>
      <c r="AG7" t="s">
        <v>86</v>
      </c>
      <c r="AH7" t="s">
        <v>107</v>
      </c>
      <c r="AI7" t="s">
        <v>78</v>
      </c>
      <c r="AJ7" t="s">
        <v>79</v>
      </c>
      <c r="AK7" t="s">
        <v>112</v>
      </c>
      <c r="AL7" t="s">
        <v>73</v>
      </c>
      <c r="AM7" t="s">
        <v>73</v>
      </c>
      <c r="AN7" t="s">
        <v>92</v>
      </c>
      <c r="AO7" t="s">
        <v>136</v>
      </c>
    </row>
    <row r="8" spans="1:41" x14ac:dyDescent="0.35">
      <c r="A8" s="2" t="s">
        <v>21</v>
      </c>
      <c r="B8" s="2" t="s">
        <v>23</v>
      </c>
      <c r="C8" s="13">
        <v>45042</v>
      </c>
      <c r="D8" s="2" t="s">
        <v>13</v>
      </c>
      <c r="E8" s="2" t="s">
        <v>12</v>
      </c>
      <c r="F8" s="6">
        <v>2</v>
      </c>
      <c r="G8" s="6">
        <v>11</v>
      </c>
      <c r="H8" s="2" t="s">
        <v>73</v>
      </c>
      <c r="I8" s="2" t="s">
        <v>74</v>
      </c>
      <c r="J8" t="s">
        <v>75</v>
      </c>
      <c r="K8" t="s">
        <v>76</v>
      </c>
      <c r="L8" t="s">
        <v>96</v>
      </c>
      <c r="M8" t="s">
        <v>73</v>
      </c>
      <c r="N8" t="s">
        <v>79</v>
      </c>
      <c r="O8" t="s">
        <v>79</v>
      </c>
      <c r="P8" t="s">
        <v>108</v>
      </c>
      <c r="Q8" t="s">
        <v>81</v>
      </c>
      <c r="R8" t="s">
        <v>82</v>
      </c>
      <c r="S8" s="12">
        <v>1</v>
      </c>
      <c r="T8" s="12">
        <v>0</v>
      </c>
      <c r="U8" t="s">
        <v>73</v>
      </c>
      <c r="W8" t="s">
        <v>92</v>
      </c>
      <c r="X8" t="s">
        <v>84</v>
      </c>
      <c r="Y8" s="12">
        <v>1</v>
      </c>
      <c r="Z8" s="12">
        <v>1</v>
      </c>
      <c r="AA8" s="12">
        <v>1</v>
      </c>
      <c r="AB8" s="12">
        <v>1</v>
      </c>
      <c r="AC8" t="s">
        <v>79</v>
      </c>
      <c r="AD8" t="s">
        <v>85</v>
      </c>
      <c r="AE8" s="12">
        <v>1</v>
      </c>
      <c r="AF8" s="12">
        <v>0</v>
      </c>
      <c r="AG8" t="s">
        <v>86</v>
      </c>
      <c r="AH8" t="s">
        <v>87</v>
      </c>
      <c r="AI8">
        <v>4.5</v>
      </c>
      <c r="AJ8" t="s">
        <v>79</v>
      </c>
      <c r="AK8" t="s">
        <v>109</v>
      </c>
      <c r="AL8" t="s">
        <v>73</v>
      </c>
      <c r="AM8" t="s">
        <v>73</v>
      </c>
      <c r="AN8" t="s">
        <v>92</v>
      </c>
      <c r="AO8" t="s">
        <v>26</v>
      </c>
    </row>
    <row r="9" spans="1:41" x14ac:dyDescent="0.35">
      <c r="A9" s="2" t="s">
        <v>22</v>
      </c>
      <c r="B9" s="2" t="s">
        <v>24</v>
      </c>
      <c r="C9" s="13">
        <v>45042</v>
      </c>
      <c r="D9" s="2" t="s">
        <v>13</v>
      </c>
      <c r="E9" s="2" t="s">
        <v>12</v>
      </c>
      <c r="F9" s="6">
        <v>2</v>
      </c>
      <c r="G9" s="6">
        <v>8</v>
      </c>
      <c r="H9" s="2" t="s">
        <v>73</v>
      </c>
      <c r="I9" s="2" t="s">
        <v>74</v>
      </c>
      <c r="J9" t="s">
        <v>75</v>
      </c>
      <c r="K9" t="s">
        <v>76</v>
      </c>
      <c r="L9" t="s">
        <v>77</v>
      </c>
      <c r="M9" t="s">
        <v>73</v>
      </c>
      <c r="N9" t="s">
        <v>79</v>
      </c>
      <c r="O9" t="s">
        <v>79</v>
      </c>
      <c r="P9" t="s">
        <v>105</v>
      </c>
      <c r="Q9" t="s">
        <v>81</v>
      </c>
      <c r="R9" t="s">
        <v>82</v>
      </c>
      <c r="S9" s="12">
        <v>1</v>
      </c>
      <c r="T9" s="12">
        <v>0</v>
      </c>
      <c r="U9" t="s">
        <v>73</v>
      </c>
      <c r="W9" t="s">
        <v>92</v>
      </c>
      <c r="X9" t="s">
        <v>84</v>
      </c>
      <c r="Y9" s="12">
        <v>1</v>
      </c>
      <c r="Z9" s="12">
        <v>1</v>
      </c>
      <c r="AA9" s="12">
        <v>1</v>
      </c>
      <c r="AB9" s="12">
        <v>1</v>
      </c>
      <c r="AC9" t="s">
        <v>79</v>
      </c>
      <c r="AD9" t="s">
        <v>85</v>
      </c>
      <c r="AE9" s="12">
        <v>1</v>
      </c>
      <c r="AF9" s="12">
        <v>0</v>
      </c>
      <c r="AG9" t="s">
        <v>106</v>
      </c>
      <c r="AH9" t="s">
        <v>107</v>
      </c>
      <c r="AI9" t="s">
        <v>78</v>
      </c>
      <c r="AJ9" t="s">
        <v>78</v>
      </c>
      <c r="AK9" t="s">
        <v>100</v>
      </c>
      <c r="AL9" t="s">
        <v>73</v>
      </c>
      <c r="AM9" t="s">
        <v>73</v>
      </c>
      <c r="AN9" t="s">
        <v>92</v>
      </c>
      <c r="AO9" t="s">
        <v>27</v>
      </c>
    </row>
    <row r="10" spans="1:41" x14ac:dyDescent="0.35">
      <c r="A10" s="2" t="s">
        <v>28</v>
      </c>
      <c r="B10" s="7" t="s">
        <v>30</v>
      </c>
      <c r="C10" s="13">
        <v>45055</v>
      </c>
      <c r="D10" s="2" t="s">
        <v>13</v>
      </c>
      <c r="E10" s="2" t="s">
        <v>32</v>
      </c>
      <c r="F10" s="6">
        <v>304</v>
      </c>
      <c r="G10" s="6">
        <v>2.5</v>
      </c>
      <c r="H10" s="2" t="s">
        <v>60</v>
      </c>
      <c r="I10" s="2" t="s">
        <v>60</v>
      </c>
      <c r="J10" t="s">
        <v>113</v>
      </c>
      <c r="K10" t="s">
        <v>76</v>
      </c>
      <c r="L10" t="s">
        <v>96</v>
      </c>
      <c r="M10" t="s">
        <v>73</v>
      </c>
      <c r="N10" t="s">
        <v>79</v>
      </c>
      <c r="O10" t="s">
        <v>79</v>
      </c>
      <c r="P10" t="s">
        <v>102</v>
      </c>
      <c r="Q10" t="s">
        <v>81</v>
      </c>
      <c r="R10" t="s">
        <v>82</v>
      </c>
      <c r="S10" s="12">
        <v>1</v>
      </c>
      <c r="T10" s="12">
        <v>0</v>
      </c>
      <c r="U10" t="s">
        <v>73</v>
      </c>
      <c r="W10" t="s">
        <v>92</v>
      </c>
      <c r="X10" t="s">
        <v>84</v>
      </c>
      <c r="Y10" s="12">
        <v>1</v>
      </c>
      <c r="Z10" s="12">
        <v>1</v>
      </c>
      <c r="AA10" s="12">
        <v>1</v>
      </c>
      <c r="AB10" s="12">
        <v>1</v>
      </c>
      <c r="AC10" t="s">
        <v>79</v>
      </c>
      <c r="AD10" t="s">
        <v>85</v>
      </c>
      <c r="AE10" s="12">
        <v>1</v>
      </c>
      <c r="AF10" s="12">
        <v>0</v>
      </c>
      <c r="AG10" t="s">
        <v>86</v>
      </c>
      <c r="AH10" t="s">
        <v>107</v>
      </c>
      <c r="AI10" t="s">
        <v>78</v>
      </c>
      <c r="AJ10" t="s">
        <v>78</v>
      </c>
      <c r="AK10" t="s">
        <v>100</v>
      </c>
      <c r="AL10" t="s">
        <v>73</v>
      </c>
      <c r="AM10" t="s">
        <v>73</v>
      </c>
      <c r="AN10" t="s">
        <v>92</v>
      </c>
      <c r="AO10" t="s">
        <v>33</v>
      </c>
    </row>
    <row r="11" spans="1:41" x14ac:dyDescent="0.35">
      <c r="A11" s="2" t="s">
        <v>29</v>
      </c>
      <c r="B11" s="7" t="s">
        <v>31</v>
      </c>
      <c r="C11" s="13">
        <v>45055</v>
      </c>
      <c r="D11" s="2" t="s">
        <v>13</v>
      </c>
      <c r="E11" s="2" t="s">
        <v>32</v>
      </c>
      <c r="F11" s="6">
        <v>368</v>
      </c>
      <c r="G11" s="6">
        <v>3</v>
      </c>
      <c r="H11" s="2" t="s">
        <v>60</v>
      </c>
      <c r="I11" s="2" t="s">
        <v>60</v>
      </c>
      <c r="J11" t="s">
        <v>114</v>
      </c>
      <c r="K11" t="s">
        <v>76</v>
      </c>
      <c r="L11" t="s">
        <v>96</v>
      </c>
      <c r="M11" t="s">
        <v>73</v>
      </c>
      <c r="N11" t="s">
        <v>79</v>
      </c>
      <c r="O11" t="s">
        <v>79</v>
      </c>
      <c r="P11" t="s">
        <v>102</v>
      </c>
      <c r="Q11" t="s">
        <v>81</v>
      </c>
      <c r="R11" t="s">
        <v>82</v>
      </c>
      <c r="S11" s="12">
        <v>1</v>
      </c>
      <c r="T11" s="12">
        <v>0</v>
      </c>
      <c r="U11" t="s">
        <v>73</v>
      </c>
      <c r="W11" t="s">
        <v>92</v>
      </c>
      <c r="X11" t="s">
        <v>84</v>
      </c>
      <c r="Y11" s="12">
        <v>1</v>
      </c>
      <c r="Z11" s="12">
        <v>1</v>
      </c>
      <c r="AA11" s="12">
        <v>1</v>
      </c>
      <c r="AB11" s="12">
        <v>1</v>
      </c>
      <c r="AC11" t="s">
        <v>79</v>
      </c>
      <c r="AD11" t="s">
        <v>85</v>
      </c>
      <c r="AE11" s="12">
        <v>1</v>
      </c>
      <c r="AF11" s="12">
        <v>0</v>
      </c>
      <c r="AG11" t="s">
        <v>86</v>
      </c>
      <c r="AH11" t="s">
        <v>107</v>
      </c>
      <c r="AI11" t="s">
        <v>78</v>
      </c>
      <c r="AJ11" t="s">
        <v>78</v>
      </c>
      <c r="AK11" t="s">
        <v>100</v>
      </c>
      <c r="AL11" t="s">
        <v>73</v>
      </c>
      <c r="AM11" t="s">
        <v>73</v>
      </c>
      <c r="AN11" t="s">
        <v>92</v>
      </c>
      <c r="AO11" t="s">
        <v>34</v>
      </c>
    </row>
    <row r="12" spans="1:41" x14ac:dyDescent="0.35">
      <c r="A12" s="2" t="s">
        <v>37</v>
      </c>
      <c r="B12" s="2" t="s">
        <v>35</v>
      </c>
      <c r="C12" s="13">
        <v>45071</v>
      </c>
      <c r="D12" s="2" t="s">
        <v>13</v>
      </c>
      <c r="E12" s="2" t="s">
        <v>12</v>
      </c>
      <c r="F12" s="6">
        <v>4</v>
      </c>
      <c r="G12" s="6">
        <v>1</v>
      </c>
      <c r="H12" s="2" t="s">
        <v>73</v>
      </c>
      <c r="I12" s="2" t="s">
        <v>74</v>
      </c>
      <c r="J12" t="s">
        <v>75</v>
      </c>
      <c r="K12" t="s">
        <v>76</v>
      </c>
      <c r="L12" t="s">
        <v>96</v>
      </c>
      <c r="M12" t="s">
        <v>73</v>
      </c>
      <c r="N12" t="s">
        <v>79</v>
      </c>
      <c r="O12" t="s">
        <v>79</v>
      </c>
      <c r="P12" t="s">
        <v>102</v>
      </c>
      <c r="Q12" t="s">
        <v>81</v>
      </c>
      <c r="R12" t="s">
        <v>103</v>
      </c>
      <c r="S12" s="12">
        <v>1</v>
      </c>
      <c r="T12" s="12">
        <v>1</v>
      </c>
      <c r="U12" t="s">
        <v>115</v>
      </c>
      <c r="V12" t="s">
        <v>118</v>
      </c>
      <c r="W12" t="s">
        <v>119</v>
      </c>
      <c r="X12" t="s">
        <v>84</v>
      </c>
      <c r="Y12" s="12">
        <v>1</v>
      </c>
      <c r="Z12" s="12">
        <v>1</v>
      </c>
      <c r="AA12" s="12">
        <v>1</v>
      </c>
      <c r="AB12" s="12">
        <v>1</v>
      </c>
      <c r="AC12" t="s">
        <v>79</v>
      </c>
      <c r="AD12" t="s">
        <v>85</v>
      </c>
      <c r="AE12" s="12">
        <v>1</v>
      </c>
      <c r="AF12" s="12">
        <v>0</v>
      </c>
      <c r="AG12" t="s">
        <v>86</v>
      </c>
      <c r="AH12" t="s">
        <v>87</v>
      </c>
      <c r="AI12">
        <v>2.2000000000000002</v>
      </c>
      <c r="AJ12" t="s">
        <v>79</v>
      </c>
      <c r="AK12" t="s">
        <v>120</v>
      </c>
      <c r="AL12" t="s">
        <v>73</v>
      </c>
      <c r="AM12" t="s">
        <v>73</v>
      </c>
      <c r="AN12" t="s">
        <v>92</v>
      </c>
      <c r="AO12" t="s">
        <v>137</v>
      </c>
    </row>
    <row r="13" spans="1:41" x14ac:dyDescent="0.35">
      <c r="A13" s="2" t="s">
        <v>38</v>
      </c>
      <c r="B13" s="2" t="s">
        <v>36</v>
      </c>
      <c r="C13" s="13">
        <v>45071</v>
      </c>
      <c r="D13" s="2" t="s">
        <v>13</v>
      </c>
      <c r="E13" s="2" t="s">
        <v>12</v>
      </c>
      <c r="F13" s="6">
        <v>2</v>
      </c>
      <c r="G13" s="6">
        <v>1</v>
      </c>
      <c r="H13" s="2" t="s">
        <v>73</v>
      </c>
      <c r="I13" s="2" t="s">
        <v>74</v>
      </c>
      <c r="J13" t="s">
        <v>75</v>
      </c>
      <c r="K13" t="s">
        <v>78</v>
      </c>
      <c r="L13" t="s">
        <v>96</v>
      </c>
      <c r="M13" t="s">
        <v>73</v>
      </c>
      <c r="N13" t="s">
        <v>79</v>
      </c>
      <c r="O13" t="s">
        <v>79</v>
      </c>
      <c r="P13" t="s">
        <v>102</v>
      </c>
      <c r="Q13" t="s">
        <v>81</v>
      </c>
      <c r="R13" t="s">
        <v>82</v>
      </c>
      <c r="S13" s="12">
        <v>1</v>
      </c>
      <c r="T13" s="12">
        <v>0</v>
      </c>
      <c r="U13" t="s">
        <v>115</v>
      </c>
      <c r="V13" t="s">
        <v>116</v>
      </c>
      <c r="W13" t="s">
        <v>98</v>
      </c>
      <c r="X13" t="s">
        <v>84</v>
      </c>
      <c r="Y13" s="12">
        <v>1</v>
      </c>
      <c r="Z13" s="12">
        <v>1</v>
      </c>
      <c r="AA13" s="12">
        <v>1</v>
      </c>
      <c r="AB13" s="12">
        <v>1</v>
      </c>
      <c r="AC13" t="s">
        <v>79</v>
      </c>
      <c r="AD13" t="s">
        <v>85</v>
      </c>
      <c r="AE13" s="12">
        <v>1</v>
      </c>
      <c r="AF13" s="12">
        <v>0</v>
      </c>
      <c r="AG13" t="s">
        <v>86</v>
      </c>
      <c r="AH13" t="s">
        <v>107</v>
      </c>
      <c r="AI13" t="s">
        <v>78</v>
      </c>
      <c r="AJ13" t="s">
        <v>79</v>
      </c>
      <c r="AK13" t="s">
        <v>117</v>
      </c>
      <c r="AL13" t="s">
        <v>73</v>
      </c>
      <c r="AM13" t="s">
        <v>73</v>
      </c>
      <c r="AN13" t="s">
        <v>92</v>
      </c>
      <c r="AO13" t="s">
        <v>138</v>
      </c>
    </row>
    <row r="14" spans="1:41" x14ac:dyDescent="0.35">
      <c r="A14" s="2" t="s">
        <v>39</v>
      </c>
      <c r="B14" s="2" t="s">
        <v>40</v>
      </c>
      <c r="C14" s="13">
        <v>45077</v>
      </c>
      <c r="D14" s="2" t="s">
        <v>45</v>
      </c>
      <c r="E14" s="2" t="s">
        <v>46</v>
      </c>
      <c r="F14" s="6">
        <v>10</v>
      </c>
      <c r="G14" s="6">
        <v>5</v>
      </c>
      <c r="H14" s="2" t="s">
        <v>60</v>
      </c>
      <c r="I14" s="2" t="s">
        <v>60</v>
      </c>
      <c r="J14" t="s">
        <v>75</v>
      </c>
      <c r="K14" t="s">
        <v>76</v>
      </c>
      <c r="L14" t="s">
        <v>96</v>
      </c>
      <c r="M14" t="s">
        <v>73</v>
      </c>
      <c r="N14" t="s">
        <v>79</v>
      </c>
      <c r="O14" t="s">
        <v>79</v>
      </c>
      <c r="P14" t="s">
        <v>102</v>
      </c>
      <c r="Q14" t="s">
        <v>81</v>
      </c>
      <c r="R14" t="s">
        <v>82</v>
      </c>
      <c r="S14" s="12">
        <v>1</v>
      </c>
      <c r="T14" s="12">
        <v>0</v>
      </c>
      <c r="U14" t="s">
        <v>73</v>
      </c>
      <c r="W14" t="s">
        <v>92</v>
      </c>
      <c r="X14" t="s">
        <v>124</v>
      </c>
      <c r="Y14" s="12">
        <v>1</v>
      </c>
      <c r="Z14" s="12">
        <v>0</v>
      </c>
      <c r="AA14" s="12">
        <v>0</v>
      </c>
      <c r="AB14" s="12">
        <v>1</v>
      </c>
      <c r="AC14" t="s">
        <v>79</v>
      </c>
      <c r="AD14" t="s">
        <v>85</v>
      </c>
      <c r="AE14" s="12">
        <v>1</v>
      </c>
      <c r="AF14" s="12">
        <v>0</v>
      </c>
      <c r="AG14" t="s">
        <v>86</v>
      </c>
      <c r="AH14" t="s">
        <v>87</v>
      </c>
      <c r="AI14">
        <v>8</v>
      </c>
      <c r="AJ14" t="s">
        <v>79</v>
      </c>
      <c r="AK14" t="s">
        <v>125</v>
      </c>
      <c r="AL14" t="s">
        <v>73</v>
      </c>
      <c r="AM14" t="s">
        <v>73</v>
      </c>
      <c r="AN14" t="s">
        <v>92</v>
      </c>
      <c r="AO14" t="s">
        <v>47</v>
      </c>
    </row>
    <row r="15" spans="1:41" x14ac:dyDescent="0.35">
      <c r="A15" s="2" t="s">
        <v>41</v>
      </c>
      <c r="B15" s="2" t="s">
        <v>42</v>
      </c>
      <c r="C15" s="13">
        <v>45077</v>
      </c>
      <c r="D15" s="2" t="s">
        <v>45</v>
      </c>
      <c r="E15" s="2" t="s">
        <v>12</v>
      </c>
      <c r="F15" s="6">
        <v>2</v>
      </c>
      <c r="G15" s="6">
        <v>3</v>
      </c>
      <c r="H15" s="2" t="s">
        <v>79</v>
      </c>
      <c r="I15" s="2" t="s">
        <v>74</v>
      </c>
      <c r="J15" t="s">
        <v>75</v>
      </c>
      <c r="K15" t="s">
        <v>76</v>
      </c>
      <c r="L15" t="s">
        <v>96</v>
      </c>
      <c r="M15" t="s">
        <v>73</v>
      </c>
      <c r="N15" t="s">
        <v>79</v>
      </c>
      <c r="O15" t="s">
        <v>79</v>
      </c>
      <c r="P15" t="s">
        <v>121</v>
      </c>
      <c r="Q15" t="s">
        <v>81</v>
      </c>
      <c r="R15" t="s">
        <v>82</v>
      </c>
      <c r="S15" s="12">
        <v>1</v>
      </c>
      <c r="T15" s="12">
        <v>0</v>
      </c>
      <c r="U15" t="s">
        <v>73</v>
      </c>
      <c r="W15" t="s">
        <v>122</v>
      </c>
      <c r="X15" t="s">
        <v>84</v>
      </c>
      <c r="Y15" s="12">
        <v>1</v>
      </c>
      <c r="Z15" s="12">
        <v>1</v>
      </c>
      <c r="AA15" s="12">
        <v>1</v>
      </c>
      <c r="AB15" s="12">
        <v>1</v>
      </c>
      <c r="AC15" t="s">
        <v>79</v>
      </c>
      <c r="AD15" t="s">
        <v>85</v>
      </c>
      <c r="AE15" s="12">
        <v>1</v>
      </c>
      <c r="AF15" s="12">
        <v>0</v>
      </c>
      <c r="AG15" t="s">
        <v>86</v>
      </c>
      <c r="AH15" t="s">
        <v>87</v>
      </c>
      <c r="AI15" t="s">
        <v>78</v>
      </c>
      <c r="AJ15" t="s">
        <v>79</v>
      </c>
      <c r="AK15" t="s">
        <v>123</v>
      </c>
      <c r="AL15" t="s">
        <v>73</v>
      </c>
      <c r="AM15" t="s">
        <v>73</v>
      </c>
      <c r="AN15" t="s">
        <v>92</v>
      </c>
      <c r="AO15" t="s">
        <v>48</v>
      </c>
    </row>
    <row r="16" spans="1:41" x14ac:dyDescent="0.35">
      <c r="A16" s="2" t="s">
        <v>43</v>
      </c>
      <c r="B16" s="2" t="s">
        <v>44</v>
      </c>
      <c r="C16" s="13">
        <v>45077</v>
      </c>
      <c r="D16" s="2" t="s">
        <v>45</v>
      </c>
      <c r="E16" s="2" t="s">
        <v>186</v>
      </c>
      <c r="F16" s="6">
        <v>10</v>
      </c>
      <c r="G16" s="6">
        <v>0.5</v>
      </c>
      <c r="H16" s="2" t="s">
        <v>60</v>
      </c>
      <c r="I16" s="2" t="s">
        <v>60</v>
      </c>
      <c r="J16" t="s">
        <v>75</v>
      </c>
      <c r="K16" t="s">
        <v>76</v>
      </c>
      <c r="L16" t="s">
        <v>96</v>
      </c>
      <c r="M16" t="s">
        <v>73</v>
      </c>
      <c r="N16" t="s">
        <v>78</v>
      </c>
      <c r="O16" t="s">
        <v>79</v>
      </c>
      <c r="P16" t="s">
        <v>102</v>
      </c>
      <c r="Q16" t="s">
        <v>81</v>
      </c>
      <c r="R16" t="s">
        <v>103</v>
      </c>
      <c r="S16" s="12">
        <v>1</v>
      </c>
      <c r="T16" s="12">
        <v>1</v>
      </c>
      <c r="U16" t="s">
        <v>73</v>
      </c>
      <c r="W16" t="s">
        <v>92</v>
      </c>
      <c r="X16" t="s">
        <v>111</v>
      </c>
      <c r="Y16" s="12">
        <v>1</v>
      </c>
      <c r="Z16" s="12">
        <v>0</v>
      </c>
      <c r="AA16" s="12">
        <v>0</v>
      </c>
      <c r="AB16" s="12">
        <v>0</v>
      </c>
      <c r="AC16" t="s">
        <v>79</v>
      </c>
      <c r="AD16" t="s">
        <v>85</v>
      </c>
      <c r="AE16" s="12">
        <v>1</v>
      </c>
      <c r="AF16" s="12">
        <v>0</v>
      </c>
      <c r="AG16" t="s">
        <v>86</v>
      </c>
      <c r="AH16" t="s">
        <v>87</v>
      </c>
      <c r="AI16" t="s">
        <v>100</v>
      </c>
      <c r="AJ16" t="s">
        <v>79</v>
      </c>
      <c r="AK16" t="s">
        <v>78</v>
      </c>
      <c r="AL16" t="s">
        <v>73</v>
      </c>
      <c r="AM16" t="s">
        <v>73</v>
      </c>
      <c r="AN16" t="s">
        <v>92</v>
      </c>
      <c r="AO16" t="s">
        <v>49</v>
      </c>
    </row>
    <row r="17" spans="1:41" x14ac:dyDescent="0.35">
      <c r="A17" s="2" t="s">
        <v>50</v>
      </c>
      <c r="B17" s="2" t="s">
        <v>51</v>
      </c>
      <c r="C17" s="13">
        <v>45084</v>
      </c>
      <c r="D17" s="2" t="s">
        <v>13</v>
      </c>
      <c r="E17" s="2" t="s">
        <v>12</v>
      </c>
      <c r="F17" s="6">
        <v>3</v>
      </c>
      <c r="G17" s="6">
        <v>3.5</v>
      </c>
      <c r="H17" s="2" t="s">
        <v>73</v>
      </c>
      <c r="I17" s="2" t="s">
        <v>74</v>
      </c>
      <c r="J17" t="s">
        <v>75</v>
      </c>
      <c r="K17" t="s">
        <v>76</v>
      </c>
      <c r="L17" t="s">
        <v>126</v>
      </c>
      <c r="M17" t="s">
        <v>73</v>
      </c>
      <c r="N17" t="s">
        <v>79</v>
      </c>
      <c r="O17" t="s">
        <v>79</v>
      </c>
      <c r="P17" t="s">
        <v>97</v>
      </c>
      <c r="Q17" t="s">
        <v>81</v>
      </c>
      <c r="R17" t="s">
        <v>82</v>
      </c>
      <c r="S17" s="12">
        <v>1</v>
      </c>
      <c r="T17" s="12">
        <v>0</v>
      </c>
      <c r="U17" t="s">
        <v>73</v>
      </c>
      <c r="W17" t="s">
        <v>92</v>
      </c>
      <c r="X17" t="s">
        <v>84</v>
      </c>
      <c r="Y17" s="12">
        <v>1</v>
      </c>
      <c r="Z17" s="12">
        <v>1</v>
      </c>
      <c r="AA17" s="12">
        <v>1</v>
      </c>
      <c r="AB17" s="12">
        <v>1</v>
      </c>
      <c r="AC17" t="s">
        <v>79</v>
      </c>
      <c r="AD17" t="s">
        <v>85</v>
      </c>
      <c r="AE17" s="12">
        <v>1</v>
      </c>
      <c r="AF17" s="12">
        <v>0</v>
      </c>
      <c r="AG17" t="s">
        <v>86</v>
      </c>
      <c r="AH17" t="s">
        <v>87</v>
      </c>
      <c r="AI17" t="s">
        <v>78</v>
      </c>
      <c r="AJ17" t="s">
        <v>79</v>
      </c>
      <c r="AK17" t="s">
        <v>127</v>
      </c>
      <c r="AL17" t="s">
        <v>73</v>
      </c>
      <c r="AM17" t="s">
        <v>73</v>
      </c>
      <c r="AN17" t="s">
        <v>92</v>
      </c>
      <c r="AO17" t="s">
        <v>61</v>
      </c>
    </row>
    <row r="18" spans="1:41" x14ac:dyDescent="0.35">
      <c r="A18" s="2" t="s">
        <v>53</v>
      </c>
      <c r="B18" s="2" t="s">
        <v>52</v>
      </c>
      <c r="C18" s="13">
        <v>45084</v>
      </c>
      <c r="D18" s="2" t="s">
        <v>13</v>
      </c>
      <c r="E18" s="2" t="s">
        <v>12</v>
      </c>
      <c r="F18" s="6">
        <v>2</v>
      </c>
      <c r="G18" s="6">
        <v>5</v>
      </c>
      <c r="H18" s="2" t="s">
        <v>73</v>
      </c>
      <c r="I18" s="2" t="s">
        <v>74</v>
      </c>
      <c r="J18" t="s">
        <v>75</v>
      </c>
      <c r="K18" t="s">
        <v>76</v>
      </c>
      <c r="L18" t="s">
        <v>96</v>
      </c>
      <c r="M18" t="s">
        <v>73</v>
      </c>
      <c r="N18" t="s">
        <v>79</v>
      </c>
      <c r="O18" t="s">
        <v>79</v>
      </c>
      <c r="P18" t="s">
        <v>97</v>
      </c>
      <c r="Q18" t="s">
        <v>81</v>
      </c>
      <c r="R18" t="s">
        <v>82</v>
      </c>
      <c r="S18" s="12">
        <v>1</v>
      </c>
      <c r="T18" s="12">
        <v>0</v>
      </c>
      <c r="U18" t="s">
        <v>73</v>
      </c>
      <c r="W18" t="s">
        <v>92</v>
      </c>
      <c r="X18" t="s">
        <v>84</v>
      </c>
      <c r="Y18" s="12">
        <v>1</v>
      </c>
      <c r="Z18" s="12">
        <v>1</v>
      </c>
      <c r="AA18" s="12">
        <v>1</v>
      </c>
      <c r="AB18" s="12">
        <v>1</v>
      </c>
      <c r="AC18" t="s">
        <v>79</v>
      </c>
      <c r="AD18" t="s">
        <v>85</v>
      </c>
      <c r="AE18" s="12">
        <v>1</v>
      </c>
      <c r="AF18" s="12">
        <v>0</v>
      </c>
      <c r="AG18" t="s">
        <v>86</v>
      </c>
      <c r="AH18" t="s">
        <v>87</v>
      </c>
      <c r="AI18" t="s">
        <v>78</v>
      </c>
      <c r="AJ18" t="s">
        <v>79</v>
      </c>
      <c r="AK18" t="s">
        <v>104</v>
      </c>
      <c r="AL18" t="s">
        <v>73</v>
      </c>
      <c r="AM18" t="s">
        <v>73</v>
      </c>
      <c r="AN18" t="s">
        <v>92</v>
      </c>
      <c r="AO18" t="s">
        <v>62</v>
      </c>
    </row>
    <row r="19" spans="1:41" x14ac:dyDescent="0.35">
      <c r="A19" s="2" t="s">
        <v>54</v>
      </c>
      <c r="B19" s="2" t="s">
        <v>57</v>
      </c>
      <c r="C19" s="13">
        <v>45085</v>
      </c>
      <c r="D19" s="2" t="s">
        <v>45</v>
      </c>
      <c r="E19" s="2" t="s">
        <v>12</v>
      </c>
      <c r="F19" s="6">
        <v>2</v>
      </c>
      <c r="G19" s="6">
        <v>2</v>
      </c>
      <c r="H19" s="2" t="s">
        <v>73</v>
      </c>
      <c r="I19" s="2" t="s">
        <v>74</v>
      </c>
      <c r="J19" t="s">
        <v>75</v>
      </c>
      <c r="K19" t="s">
        <v>76</v>
      </c>
      <c r="L19" t="s">
        <v>96</v>
      </c>
      <c r="M19" t="s">
        <v>73</v>
      </c>
      <c r="N19" t="s">
        <v>79</v>
      </c>
      <c r="O19" t="s">
        <v>79</v>
      </c>
      <c r="P19" t="s">
        <v>102</v>
      </c>
      <c r="Q19" t="s">
        <v>81</v>
      </c>
      <c r="R19" t="s">
        <v>82</v>
      </c>
      <c r="S19" s="12">
        <v>1</v>
      </c>
      <c r="T19" s="12">
        <v>0</v>
      </c>
      <c r="U19" t="s">
        <v>115</v>
      </c>
      <c r="V19" t="s">
        <v>100</v>
      </c>
      <c r="W19" t="s">
        <v>128</v>
      </c>
      <c r="X19" t="s">
        <v>84</v>
      </c>
      <c r="Y19" s="12">
        <v>1</v>
      </c>
      <c r="Z19" s="12">
        <v>1</v>
      </c>
      <c r="AA19" s="12">
        <v>1</v>
      </c>
      <c r="AB19" s="12">
        <v>1</v>
      </c>
      <c r="AC19" t="s">
        <v>79</v>
      </c>
      <c r="AD19" t="s">
        <v>85</v>
      </c>
      <c r="AE19" s="12">
        <v>1</v>
      </c>
      <c r="AF19" s="12">
        <v>0</v>
      </c>
      <c r="AG19" t="s">
        <v>86</v>
      </c>
      <c r="AH19" t="s">
        <v>87</v>
      </c>
      <c r="AI19" t="s">
        <v>78</v>
      </c>
      <c r="AJ19" t="s">
        <v>79</v>
      </c>
      <c r="AK19" t="s">
        <v>129</v>
      </c>
      <c r="AL19" t="s">
        <v>73</v>
      </c>
      <c r="AM19" t="s">
        <v>73</v>
      </c>
      <c r="AN19" t="s">
        <v>92</v>
      </c>
      <c r="AO19" t="s">
        <v>63</v>
      </c>
    </row>
    <row r="20" spans="1:41" x14ac:dyDescent="0.35">
      <c r="A20" s="2" t="s">
        <v>55</v>
      </c>
      <c r="B20" s="2" t="s">
        <v>58</v>
      </c>
      <c r="C20" s="13">
        <v>45085</v>
      </c>
      <c r="D20" s="2" t="s">
        <v>45</v>
      </c>
      <c r="E20" s="2" t="s">
        <v>12</v>
      </c>
      <c r="F20" s="6">
        <v>3</v>
      </c>
      <c r="G20" s="6">
        <v>3</v>
      </c>
      <c r="H20" s="2" t="s">
        <v>79</v>
      </c>
      <c r="I20" s="2" t="s">
        <v>130</v>
      </c>
      <c r="J20" t="s">
        <v>75</v>
      </c>
      <c r="K20" t="s">
        <v>76</v>
      </c>
      <c r="L20" t="s">
        <v>96</v>
      </c>
      <c r="M20" t="s">
        <v>73</v>
      </c>
      <c r="N20" t="s">
        <v>79</v>
      </c>
      <c r="O20" t="s">
        <v>79</v>
      </c>
      <c r="P20" t="s">
        <v>102</v>
      </c>
      <c r="Q20" t="s">
        <v>81</v>
      </c>
      <c r="R20" t="s">
        <v>131</v>
      </c>
      <c r="S20" s="12">
        <v>0</v>
      </c>
      <c r="T20" s="12">
        <v>1</v>
      </c>
      <c r="U20" t="s">
        <v>73</v>
      </c>
      <c r="W20" t="s">
        <v>92</v>
      </c>
      <c r="X20" t="s">
        <v>84</v>
      </c>
      <c r="Y20" s="12">
        <v>1</v>
      </c>
      <c r="Z20" s="12">
        <v>1</v>
      </c>
      <c r="AA20" s="12">
        <v>1</v>
      </c>
      <c r="AB20" s="12">
        <v>1</v>
      </c>
      <c r="AC20" t="s">
        <v>79</v>
      </c>
      <c r="AD20" t="s">
        <v>85</v>
      </c>
      <c r="AE20" s="12">
        <v>1</v>
      </c>
      <c r="AF20" s="12">
        <v>0</v>
      </c>
      <c r="AG20" t="s">
        <v>86</v>
      </c>
      <c r="AH20" t="s">
        <v>87</v>
      </c>
      <c r="AI20">
        <v>2.4</v>
      </c>
      <c r="AJ20" t="s">
        <v>79</v>
      </c>
      <c r="AK20" t="s">
        <v>132</v>
      </c>
      <c r="AL20" t="s">
        <v>73</v>
      </c>
      <c r="AM20" t="s">
        <v>73</v>
      </c>
      <c r="AN20" t="s">
        <v>92</v>
      </c>
      <c r="AO20" t="s">
        <v>64</v>
      </c>
    </row>
    <row r="21" spans="1:41" x14ac:dyDescent="0.35">
      <c r="A21" s="2" t="s">
        <v>56</v>
      </c>
      <c r="B21" s="2" t="s">
        <v>59</v>
      </c>
      <c r="C21" s="13">
        <v>45085</v>
      </c>
      <c r="D21" s="2" t="s">
        <v>45</v>
      </c>
      <c r="E21" s="2" t="s">
        <v>12</v>
      </c>
      <c r="F21" s="6">
        <v>2</v>
      </c>
      <c r="G21" s="6">
        <v>3</v>
      </c>
      <c r="H21" s="2" t="s">
        <v>73</v>
      </c>
      <c r="I21" s="2" t="s">
        <v>74</v>
      </c>
      <c r="J21" t="s">
        <v>75</v>
      </c>
      <c r="K21" t="s">
        <v>76</v>
      </c>
      <c r="L21" t="s">
        <v>96</v>
      </c>
      <c r="M21" t="s">
        <v>73</v>
      </c>
      <c r="N21" t="s">
        <v>79</v>
      </c>
      <c r="O21" t="s">
        <v>79</v>
      </c>
      <c r="P21" t="s">
        <v>102</v>
      </c>
      <c r="Q21" t="s">
        <v>81</v>
      </c>
      <c r="R21" t="s">
        <v>82</v>
      </c>
      <c r="S21" s="12">
        <v>1</v>
      </c>
      <c r="T21" s="12">
        <v>0</v>
      </c>
      <c r="U21" t="s">
        <v>73</v>
      </c>
      <c r="W21" t="s">
        <v>92</v>
      </c>
      <c r="X21" t="s">
        <v>84</v>
      </c>
      <c r="Y21" s="12">
        <v>1</v>
      </c>
      <c r="Z21" s="12">
        <v>1</v>
      </c>
      <c r="AA21" s="12">
        <v>1</v>
      </c>
      <c r="AB21" s="12">
        <v>1</v>
      </c>
      <c r="AC21" t="s">
        <v>79</v>
      </c>
      <c r="AD21" t="s">
        <v>85</v>
      </c>
      <c r="AE21" s="12">
        <v>1</v>
      </c>
      <c r="AF21" s="12">
        <v>0</v>
      </c>
      <c r="AG21" t="s">
        <v>86</v>
      </c>
      <c r="AH21" t="s">
        <v>87</v>
      </c>
      <c r="AI21">
        <v>2.4</v>
      </c>
      <c r="AJ21" t="s">
        <v>79</v>
      </c>
      <c r="AK21" t="s">
        <v>133</v>
      </c>
      <c r="AL21" t="s">
        <v>73</v>
      </c>
      <c r="AM21" t="s">
        <v>73</v>
      </c>
      <c r="AN21" t="s">
        <v>92</v>
      </c>
      <c r="AO21" t="s">
        <v>48</v>
      </c>
    </row>
    <row r="22" spans="1:41" x14ac:dyDescent="0.35">
      <c r="A22" s="2" t="s">
        <v>65</v>
      </c>
      <c r="B22" s="2" t="s">
        <v>67</v>
      </c>
      <c r="C22" s="13">
        <v>45098</v>
      </c>
      <c r="D22" s="2" t="s">
        <v>45</v>
      </c>
      <c r="E22" s="2" t="s">
        <v>185</v>
      </c>
      <c r="F22" s="6">
        <v>200</v>
      </c>
      <c r="G22" s="6">
        <v>0.25</v>
      </c>
      <c r="H22" s="2" t="s">
        <v>60</v>
      </c>
      <c r="I22" s="2" t="s">
        <v>60</v>
      </c>
      <c r="J22" t="s">
        <v>75</v>
      </c>
      <c r="K22" t="s">
        <v>76</v>
      </c>
      <c r="L22" t="s">
        <v>96</v>
      </c>
      <c r="M22" t="s">
        <v>73</v>
      </c>
      <c r="N22" t="s">
        <v>79</v>
      </c>
      <c r="O22" t="s">
        <v>79</v>
      </c>
      <c r="P22" t="s">
        <v>97</v>
      </c>
      <c r="Q22" t="s">
        <v>81</v>
      </c>
      <c r="R22" t="s">
        <v>82</v>
      </c>
      <c r="S22" s="12">
        <v>1</v>
      </c>
      <c r="T22" s="12">
        <v>0</v>
      </c>
      <c r="U22" t="s">
        <v>73</v>
      </c>
      <c r="W22" t="s">
        <v>92</v>
      </c>
      <c r="X22" t="s">
        <v>124</v>
      </c>
      <c r="Y22" s="12">
        <v>1</v>
      </c>
      <c r="Z22" s="12">
        <v>0</v>
      </c>
      <c r="AA22" s="12">
        <v>0</v>
      </c>
      <c r="AB22" s="12">
        <v>1</v>
      </c>
      <c r="AC22" t="s">
        <v>79</v>
      </c>
      <c r="AD22" t="s">
        <v>85</v>
      </c>
      <c r="AE22" s="12">
        <v>1</v>
      </c>
      <c r="AF22" s="12">
        <v>0</v>
      </c>
      <c r="AG22" t="s">
        <v>86</v>
      </c>
      <c r="AH22" t="s">
        <v>87</v>
      </c>
      <c r="AI22">
        <v>5</v>
      </c>
      <c r="AJ22" t="s">
        <v>73</v>
      </c>
      <c r="AK22" t="s">
        <v>120</v>
      </c>
      <c r="AL22" t="s">
        <v>73</v>
      </c>
      <c r="AM22" t="s">
        <v>73</v>
      </c>
      <c r="AN22" t="s">
        <v>92</v>
      </c>
      <c r="AO22" t="s">
        <v>70</v>
      </c>
    </row>
    <row r="23" spans="1:41" x14ac:dyDescent="0.35">
      <c r="A23" s="2" t="s">
        <v>66</v>
      </c>
      <c r="B23" s="2" t="s">
        <v>68</v>
      </c>
      <c r="C23" s="13">
        <v>45098</v>
      </c>
      <c r="D23" s="2" t="s">
        <v>69</v>
      </c>
      <c r="E23" s="2" t="s">
        <v>12</v>
      </c>
      <c r="F23" s="6">
        <v>3</v>
      </c>
      <c r="G23" s="6">
        <v>0.25</v>
      </c>
      <c r="H23" s="2" t="s">
        <v>73</v>
      </c>
      <c r="I23" s="2" t="s">
        <v>74</v>
      </c>
      <c r="J23" t="s">
        <v>75</v>
      </c>
      <c r="K23" t="s">
        <v>76</v>
      </c>
      <c r="L23" t="s">
        <v>96</v>
      </c>
      <c r="M23" t="s">
        <v>73</v>
      </c>
      <c r="N23" t="s">
        <v>79</v>
      </c>
      <c r="O23" t="s">
        <v>79</v>
      </c>
      <c r="P23" t="s">
        <v>102</v>
      </c>
      <c r="Q23" t="s">
        <v>81</v>
      </c>
      <c r="R23" t="s">
        <v>82</v>
      </c>
      <c r="S23" s="12">
        <v>1</v>
      </c>
      <c r="T23" s="12">
        <v>0</v>
      </c>
      <c r="U23" t="s">
        <v>73</v>
      </c>
      <c r="W23" t="s">
        <v>92</v>
      </c>
      <c r="X23" t="s">
        <v>134</v>
      </c>
      <c r="Y23" s="12">
        <v>1</v>
      </c>
      <c r="Z23" s="12">
        <v>0</v>
      </c>
      <c r="AA23" s="12">
        <v>1</v>
      </c>
      <c r="AB23" s="12">
        <v>1</v>
      </c>
      <c r="AC23" t="s">
        <v>79</v>
      </c>
      <c r="AD23" t="s">
        <v>85</v>
      </c>
      <c r="AE23" s="12">
        <v>1</v>
      </c>
      <c r="AF23" s="12">
        <v>0</v>
      </c>
      <c r="AG23" t="s">
        <v>86</v>
      </c>
      <c r="AH23" t="s">
        <v>87</v>
      </c>
      <c r="AI23" t="s">
        <v>78</v>
      </c>
      <c r="AJ23" t="s">
        <v>79</v>
      </c>
      <c r="AK23" t="s">
        <v>100</v>
      </c>
      <c r="AL23" t="s">
        <v>73</v>
      </c>
      <c r="AM23" t="s">
        <v>73</v>
      </c>
      <c r="AN23" t="s">
        <v>92</v>
      </c>
      <c r="AO23" t="s">
        <v>71</v>
      </c>
    </row>
    <row r="24" spans="1:41" x14ac:dyDescent="0.35">
      <c r="A24" s="2" t="s">
        <v>250</v>
      </c>
      <c r="B24" s="2" t="s">
        <v>269</v>
      </c>
      <c r="C24" s="13">
        <v>45306</v>
      </c>
      <c r="D24" s="2" t="s">
        <v>288</v>
      </c>
      <c r="E24" s="2" t="s">
        <v>185</v>
      </c>
      <c r="F24" s="6">
        <v>23</v>
      </c>
      <c r="G24" s="6">
        <v>2</v>
      </c>
      <c r="H24" s="2" t="s">
        <v>73</v>
      </c>
      <c r="I24" s="2" t="s">
        <v>60</v>
      </c>
      <c r="J24" t="s">
        <v>75</v>
      </c>
      <c r="K24" t="s">
        <v>76</v>
      </c>
      <c r="L24" t="s">
        <v>96</v>
      </c>
      <c r="M24" t="s">
        <v>73</v>
      </c>
      <c r="N24" t="s">
        <v>73</v>
      </c>
      <c r="O24" t="s">
        <v>79</v>
      </c>
      <c r="P24" t="s">
        <v>297</v>
      </c>
      <c r="Q24" t="s">
        <v>81</v>
      </c>
      <c r="R24" t="s">
        <v>103</v>
      </c>
      <c r="S24" s="12">
        <v>1</v>
      </c>
      <c r="T24" s="12">
        <v>1</v>
      </c>
      <c r="U24" t="s">
        <v>73</v>
      </c>
      <c r="W24" t="s">
        <v>300</v>
      </c>
      <c r="X24" t="s">
        <v>302</v>
      </c>
      <c r="Y24" s="12">
        <v>1</v>
      </c>
      <c r="Z24" s="12">
        <v>1</v>
      </c>
      <c r="AA24" s="12">
        <v>1</v>
      </c>
      <c r="AB24" s="12">
        <v>0</v>
      </c>
      <c r="AC24" s="12" t="s">
        <v>79</v>
      </c>
      <c r="AD24" t="s">
        <v>306</v>
      </c>
      <c r="AE24" s="12">
        <v>1</v>
      </c>
      <c r="AF24" s="12">
        <v>1</v>
      </c>
      <c r="AG24" t="s">
        <v>86</v>
      </c>
      <c r="AH24" t="s">
        <v>107</v>
      </c>
      <c r="AI24" t="s">
        <v>78</v>
      </c>
      <c r="AJ24" t="s">
        <v>78</v>
      </c>
      <c r="AK24" t="s">
        <v>78</v>
      </c>
      <c r="AL24" t="s">
        <v>73</v>
      </c>
      <c r="AM24" t="s">
        <v>79</v>
      </c>
      <c r="AN24" t="s">
        <v>319</v>
      </c>
      <c r="AO24" t="s">
        <v>332</v>
      </c>
    </row>
    <row r="25" spans="1:41" x14ac:dyDescent="0.35">
      <c r="A25" s="2" t="s">
        <v>251</v>
      </c>
      <c r="B25" s="2" t="s">
        <v>270</v>
      </c>
      <c r="C25" s="13">
        <v>45307</v>
      </c>
      <c r="D25" s="2" t="s">
        <v>288</v>
      </c>
      <c r="E25" s="2" t="s">
        <v>12</v>
      </c>
      <c r="F25" s="6">
        <v>4</v>
      </c>
      <c r="G25" s="6">
        <v>3</v>
      </c>
      <c r="H25" s="2" t="s">
        <v>79</v>
      </c>
      <c r="I25" s="2" t="s">
        <v>130</v>
      </c>
      <c r="J25" t="s">
        <v>75</v>
      </c>
      <c r="K25" t="s">
        <v>76</v>
      </c>
      <c r="L25" t="s">
        <v>96</v>
      </c>
      <c r="M25" t="s">
        <v>73</v>
      </c>
      <c r="N25" t="s">
        <v>73</v>
      </c>
      <c r="O25" t="s">
        <v>79</v>
      </c>
      <c r="P25" t="s">
        <v>297</v>
      </c>
      <c r="Q25" t="s">
        <v>81</v>
      </c>
      <c r="R25" t="s">
        <v>103</v>
      </c>
      <c r="S25" s="12">
        <v>1</v>
      </c>
      <c r="T25" s="12">
        <v>1</v>
      </c>
      <c r="U25" t="s">
        <v>73</v>
      </c>
      <c r="W25" t="s">
        <v>300</v>
      </c>
      <c r="X25" t="s">
        <v>303</v>
      </c>
      <c r="Y25" s="12">
        <v>1</v>
      </c>
      <c r="Z25" s="12">
        <v>1</v>
      </c>
      <c r="AA25" s="12">
        <v>1</v>
      </c>
      <c r="AB25" s="12">
        <v>1</v>
      </c>
      <c r="AC25" s="12" t="s">
        <v>79</v>
      </c>
      <c r="AD25" t="s">
        <v>306</v>
      </c>
      <c r="AE25" s="12">
        <v>1</v>
      </c>
      <c r="AF25" s="12">
        <v>1</v>
      </c>
      <c r="AG25" t="s">
        <v>86</v>
      </c>
      <c r="AH25" t="s">
        <v>107</v>
      </c>
      <c r="AI25" t="s">
        <v>78</v>
      </c>
      <c r="AJ25" t="s">
        <v>73</v>
      </c>
      <c r="AK25" t="s">
        <v>309</v>
      </c>
      <c r="AL25" t="s">
        <v>73</v>
      </c>
      <c r="AM25" t="s">
        <v>79</v>
      </c>
      <c r="AN25" t="s">
        <v>320</v>
      </c>
      <c r="AO25" t="s">
        <v>333</v>
      </c>
    </row>
    <row r="26" spans="1:41" x14ac:dyDescent="0.35">
      <c r="A26" s="2" t="s">
        <v>252</v>
      </c>
      <c r="B26" s="2" t="s">
        <v>271</v>
      </c>
      <c r="C26" s="13">
        <v>45307</v>
      </c>
      <c r="D26" s="2" t="s">
        <v>288</v>
      </c>
      <c r="E26" s="2" t="s">
        <v>12</v>
      </c>
      <c r="F26" s="6">
        <v>5</v>
      </c>
      <c r="G26" s="6">
        <v>3</v>
      </c>
      <c r="H26" s="2" t="s">
        <v>79</v>
      </c>
      <c r="I26" s="2" t="s">
        <v>130</v>
      </c>
      <c r="J26" t="s">
        <v>75</v>
      </c>
      <c r="K26" t="s">
        <v>76</v>
      </c>
      <c r="L26" t="s">
        <v>96</v>
      </c>
      <c r="M26" t="s">
        <v>73</v>
      </c>
      <c r="N26" t="s">
        <v>73</v>
      </c>
      <c r="O26" t="s">
        <v>79</v>
      </c>
      <c r="P26" t="s">
        <v>297</v>
      </c>
      <c r="Q26" t="s">
        <v>81</v>
      </c>
      <c r="R26" t="s">
        <v>103</v>
      </c>
      <c r="S26" s="12">
        <v>1</v>
      </c>
      <c r="T26" s="12">
        <v>1</v>
      </c>
      <c r="U26" t="s">
        <v>73</v>
      </c>
      <c r="W26" t="s">
        <v>300</v>
      </c>
      <c r="X26" t="s">
        <v>134</v>
      </c>
      <c r="Y26" s="12">
        <v>1</v>
      </c>
      <c r="Z26" s="12">
        <v>0</v>
      </c>
      <c r="AA26" s="12">
        <v>1</v>
      </c>
      <c r="AB26" s="12">
        <v>1</v>
      </c>
      <c r="AC26" s="12" t="s">
        <v>79</v>
      </c>
      <c r="AD26" t="s">
        <v>306</v>
      </c>
      <c r="AE26" s="12">
        <v>1</v>
      </c>
      <c r="AF26" s="12">
        <v>1</v>
      </c>
      <c r="AG26" t="s">
        <v>86</v>
      </c>
      <c r="AH26" t="s">
        <v>107</v>
      </c>
      <c r="AI26" t="s">
        <v>78</v>
      </c>
      <c r="AJ26" t="s">
        <v>73</v>
      </c>
      <c r="AK26" t="s">
        <v>310</v>
      </c>
      <c r="AL26" t="s">
        <v>73</v>
      </c>
      <c r="AM26" t="s">
        <v>79</v>
      </c>
      <c r="AN26" t="s">
        <v>320</v>
      </c>
      <c r="AO26" t="s">
        <v>334</v>
      </c>
    </row>
    <row r="27" spans="1:41" x14ac:dyDescent="0.35">
      <c r="A27" s="2" t="s">
        <v>253</v>
      </c>
      <c r="B27" s="2" t="s">
        <v>272</v>
      </c>
      <c r="C27" s="13">
        <v>45307</v>
      </c>
      <c r="D27" s="2" t="s">
        <v>288</v>
      </c>
      <c r="E27" s="2" t="s">
        <v>12</v>
      </c>
      <c r="F27" s="6">
        <v>4</v>
      </c>
      <c r="G27" s="6">
        <v>3</v>
      </c>
      <c r="H27" s="2" t="s">
        <v>79</v>
      </c>
      <c r="I27" s="2" t="s">
        <v>130</v>
      </c>
      <c r="J27" t="s">
        <v>75</v>
      </c>
      <c r="K27" t="s">
        <v>76</v>
      </c>
      <c r="L27" t="s">
        <v>96</v>
      </c>
      <c r="M27" t="s">
        <v>73</v>
      </c>
      <c r="N27" t="s">
        <v>73</v>
      </c>
      <c r="O27" t="s">
        <v>79</v>
      </c>
      <c r="P27" t="s">
        <v>297</v>
      </c>
      <c r="Q27" t="s">
        <v>81</v>
      </c>
      <c r="R27" t="s">
        <v>103</v>
      </c>
      <c r="S27" s="12">
        <v>1</v>
      </c>
      <c r="T27" s="12">
        <v>1</v>
      </c>
      <c r="U27" t="s">
        <v>73</v>
      </c>
      <c r="W27" t="s">
        <v>300</v>
      </c>
      <c r="X27" t="s">
        <v>134</v>
      </c>
      <c r="Y27" s="12">
        <v>1</v>
      </c>
      <c r="Z27" s="12">
        <v>0</v>
      </c>
      <c r="AA27" s="12">
        <v>1</v>
      </c>
      <c r="AB27" s="12">
        <v>1</v>
      </c>
      <c r="AC27" s="12" t="s">
        <v>79</v>
      </c>
      <c r="AD27" t="s">
        <v>306</v>
      </c>
      <c r="AE27" s="12">
        <v>1</v>
      </c>
      <c r="AF27" s="12">
        <v>1</v>
      </c>
      <c r="AG27" t="s">
        <v>86</v>
      </c>
      <c r="AH27" t="s">
        <v>107</v>
      </c>
      <c r="AI27" t="s">
        <v>78</v>
      </c>
      <c r="AJ27" t="s">
        <v>73</v>
      </c>
      <c r="AK27" t="s">
        <v>310</v>
      </c>
      <c r="AL27" t="s">
        <v>73</v>
      </c>
      <c r="AM27" t="s">
        <v>79</v>
      </c>
      <c r="AN27" t="s">
        <v>320</v>
      </c>
      <c r="AO27" t="s">
        <v>335</v>
      </c>
    </row>
    <row r="28" spans="1:41" x14ac:dyDescent="0.35">
      <c r="A28" s="2" t="s">
        <v>254</v>
      </c>
      <c r="B28" s="2" t="s">
        <v>273</v>
      </c>
      <c r="C28" s="13">
        <v>45307</v>
      </c>
      <c r="D28" s="2" t="s">
        <v>288</v>
      </c>
      <c r="E28" s="2" t="s">
        <v>12</v>
      </c>
      <c r="F28" s="6">
        <v>15</v>
      </c>
      <c r="G28" s="6">
        <v>3</v>
      </c>
      <c r="H28" s="2" t="s">
        <v>79</v>
      </c>
      <c r="I28" s="2" t="s">
        <v>130</v>
      </c>
      <c r="J28" t="s">
        <v>75</v>
      </c>
      <c r="K28" t="s">
        <v>76</v>
      </c>
      <c r="L28" t="s">
        <v>96</v>
      </c>
      <c r="M28" t="s">
        <v>73</v>
      </c>
      <c r="N28" t="s">
        <v>73</v>
      </c>
      <c r="O28" t="s">
        <v>79</v>
      </c>
      <c r="P28" t="s">
        <v>297</v>
      </c>
      <c r="Q28" t="s">
        <v>81</v>
      </c>
      <c r="R28" t="s">
        <v>103</v>
      </c>
      <c r="S28" s="12">
        <v>1</v>
      </c>
      <c r="T28" s="12">
        <v>1</v>
      </c>
      <c r="U28" t="s">
        <v>73</v>
      </c>
      <c r="W28" t="s">
        <v>300</v>
      </c>
      <c r="X28" t="s">
        <v>134</v>
      </c>
      <c r="Y28" s="12">
        <v>1</v>
      </c>
      <c r="Z28" s="12">
        <v>0</v>
      </c>
      <c r="AA28" s="12">
        <v>1</v>
      </c>
      <c r="AB28" s="12">
        <v>1</v>
      </c>
      <c r="AC28" s="12" t="s">
        <v>79</v>
      </c>
      <c r="AD28" t="s">
        <v>306</v>
      </c>
      <c r="AE28" s="12">
        <v>1</v>
      </c>
      <c r="AF28" s="12">
        <v>1</v>
      </c>
      <c r="AG28" t="s">
        <v>86</v>
      </c>
      <c r="AH28" t="s">
        <v>107</v>
      </c>
      <c r="AI28" t="s">
        <v>100</v>
      </c>
      <c r="AJ28" t="s">
        <v>73</v>
      </c>
      <c r="AK28" t="s">
        <v>310</v>
      </c>
      <c r="AL28" t="s">
        <v>73</v>
      </c>
      <c r="AM28" t="s">
        <v>79</v>
      </c>
      <c r="AN28" t="s">
        <v>321</v>
      </c>
      <c r="AO28" t="s">
        <v>336</v>
      </c>
    </row>
    <row r="29" spans="1:41" x14ac:dyDescent="0.35">
      <c r="A29" s="2" t="s">
        <v>255</v>
      </c>
      <c r="B29" s="2" t="s">
        <v>274</v>
      </c>
      <c r="C29" s="13">
        <v>45313</v>
      </c>
      <c r="D29" s="2" t="s">
        <v>289</v>
      </c>
      <c r="E29" s="2" t="s">
        <v>12</v>
      </c>
      <c r="F29" s="6">
        <v>9</v>
      </c>
      <c r="G29" s="6">
        <v>1</v>
      </c>
      <c r="H29" s="2" t="s">
        <v>79</v>
      </c>
      <c r="I29" s="2" t="s">
        <v>130</v>
      </c>
      <c r="J29" t="s">
        <v>75</v>
      </c>
      <c r="K29" t="s">
        <v>76</v>
      </c>
      <c r="L29" t="s">
        <v>96</v>
      </c>
      <c r="M29" t="s">
        <v>79</v>
      </c>
      <c r="N29" t="s">
        <v>73</v>
      </c>
      <c r="O29" t="s">
        <v>79</v>
      </c>
      <c r="P29" t="s">
        <v>297</v>
      </c>
      <c r="Q29" t="s">
        <v>81</v>
      </c>
      <c r="R29" t="s">
        <v>103</v>
      </c>
      <c r="S29" s="12">
        <v>1</v>
      </c>
      <c r="T29" s="12">
        <v>1</v>
      </c>
      <c r="U29" t="s">
        <v>73</v>
      </c>
      <c r="W29" t="s">
        <v>300</v>
      </c>
      <c r="X29" t="s">
        <v>304</v>
      </c>
      <c r="Y29" s="12">
        <v>1</v>
      </c>
      <c r="Z29" s="12">
        <v>1</v>
      </c>
      <c r="AA29" s="12">
        <v>0</v>
      </c>
      <c r="AB29" s="12">
        <v>1</v>
      </c>
      <c r="AC29" s="12" t="s">
        <v>79</v>
      </c>
      <c r="AD29" t="s">
        <v>306</v>
      </c>
      <c r="AE29" s="12">
        <v>1</v>
      </c>
      <c r="AF29" s="12">
        <v>1</v>
      </c>
      <c r="AG29" t="s">
        <v>86</v>
      </c>
      <c r="AH29" t="s">
        <v>107</v>
      </c>
      <c r="AI29" t="s">
        <v>100</v>
      </c>
      <c r="AJ29" t="s">
        <v>79</v>
      </c>
      <c r="AK29" t="s">
        <v>311</v>
      </c>
      <c r="AL29" t="s">
        <v>73</v>
      </c>
      <c r="AM29" t="s">
        <v>73</v>
      </c>
      <c r="AN29" t="s">
        <v>92</v>
      </c>
      <c r="AO29" t="s">
        <v>337</v>
      </c>
    </row>
    <row r="30" spans="1:41" x14ac:dyDescent="0.35">
      <c r="A30" s="2" t="s">
        <v>256</v>
      </c>
      <c r="B30" s="2" t="s">
        <v>275</v>
      </c>
      <c r="C30" s="13">
        <v>45314</v>
      </c>
      <c r="D30" s="2" t="s">
        <v>290</v>
      </c>
      <c r="E30" s="2" t="s">
        <v>12</v>
      </c>
      <c r="F30" s="6">
        <v>15</v>
      </c>
      <c r="G30" s="6">
        <v>10</v>
      </c>
      <c r="H30" s="2" t="s">
        <v>79</v>
      </c>
      <c r="I30" s="2" t="s">
        <v>130</v>
      </c>
      <c r="J30" t="s">
        <v>75</v>
      </c>
      <c r="K30" t="s">
        <v>76</v>
      </c>
      <c r="L30" t="s">
        <v>96</v>
      </c>
      <c r="M30" t="s">
        <v>73</v>
      </c>
      <c r="N30" t="s">
        <v>73</v>
      </c>
      <c r="O30" t="s">
        <v>79</v>
      </c>
      <c r="P30" t="s">
        <v>297</v>
      </c>
      <c r="Q30" t="s">
        <v>81</v>
      </c>
      <c r="R30" t="s">
        <v>103</v>
      </c>
      <c r="S30" s="12">
        <v>1</v>
      </c>
      <c r="T30" s="12">
        <v>1</v>
      </c>
      <c r="U30" t="s">
        <v>79</v>
      </c>
      <c r="V30" t="s">
        <v>100</v>
      </c>
      <c r="W30" t="s">
        <v>301</v>
      </c>
      <c r="X30" t="s">
        <v>304</v>
      </c>
      <c r="Y30" s="12">
        <v>1</v>
      </c>
      <c r="Z30" s="12">
        <v>1</v>
      </c>
      <c r="AA30" s="12">
        <v>0</v>
      </c>
      <c r="AB30" s="12">
        <v>1</v>
      </c>
      <c r="AC30" s="12" t="s">
        <v>79</v>
      </c>
      <c r="AD30" t="s">
        <v>306</v>
      </c>
      <c r="AE30" s="12">
        <v>1</v>
      </c>
      <c r="AF30" s="12">
        <v>1</v>
      </c>
      <c r="AG30" t="s">
        <v>308</v>
      </c>
      <c r="AH30" t="s">
        <v>87</v>
      </c>
      <c r="AI30" t="s">
        <v>100</v>
      </c>
      <c r="AJ30" t="s">
        <v>312</v>
      </c>
      <c r="AK30" t="s">
        <v>313</v>
      </c>
      <c r="AL30" t="s">
        <v>73</v>
      </c>
      <c r="AM30" t="s">
        <v>79</v>
      </c>
      <c r="AN30" t="s">
        <v>322</v>
      </c>
      <c r="AO30" t="s">
        <v>338</v>
      </c>
    </row>
    <row r="31" spans="1:41" x14ac:dyDescent="0.35">
      <c r="A31" s="2" t="s">
        <v>257</v>
      </c>
      <c r="B31" s="2" t="s">
        <v>276</v>
      </c>
      <c r="C31" s="13">
        <v>45320</v>
      </c>
      <c r="D31" s="2" t="s">
        <v>291</v>
      </c>
      <c r="E31" s="2" t="s">
        <v>12</v>
      </c>
      <c r="F31" s="6">
        <v>14</v>
      </c>
      <c r="G31" s="6">
        <v>10</v>
      </c>
      <c r="H31" s="2" t="s">
        <v>79</v>
      </c>
      <c r="I31" s="2" t="s">
        <v>130</v>
      </c>
      <c r="J31" t="s">
        <v>75</v>
      </c>
      <c r="K31" t="s">
        <v>76</v>
      </c>
      <c r="L31" t="s">
        <v>96</v>
      </c>
      <c r="M31" t="s">
        <v>73</v>
      </c>
      <c r="N31" t="s">
        <v>73</v>
      </c>
      <c r="O31" t="s">
        <v>79</v>
      </c>
      <c r="P31" t="s">
        <v>297</v>
      </c>
      <c r="Q31" t="s">
        <v>81</v>
      </c>
      <c r="R31" t="s">
        <v>103</v>
      </c>
      <c r="S31" s="12">
        <v>1</v>
      </c>
      <c r="T31" s="12">
        <v>1</v>
      </c>
      <c r="U31" t="s">
        <v>73</v>
      </c>
      <c r="W31" t="s">
        <v>92</v>
      </c>
      <c r="X31" t="s">
        <v>84</v>
      </c>
      <c r="Y31" s="12">
        <v>1</v>
      </c>
      <c r="Z31" s="12">
        <v>1</v>
      </c>
      <c r="AA31" s="12">
        <v>1</v>
      </c>
      <c r="AB31" s="12">
        <v>1</v>
      </c>
      <c r="AC31" s="12" t="s">
        <v>79</v>
      </c>
      <c r="AD31" t="s">
        <v>306</v>
      </c>
      <c r="AE31" s="12">
        <v>1</v>
      </c>
      <c r="AF31" s="12">
        <v>1</v>
      </c>
      <c r="AG31" t="s">
        <v>308</v>
      </c>
      <c r="AH31" t="s">
        <v>107</v>
      </c>
      <c r="AI31" t="s">
        <v>78</v>
      </c>
      <c r="AJ31" t="s">
        <v>312</v>
      </c>
      <c r="AK31" t="s">
        <v>60</v>
      </c>
      <c r="AL31" t="s">
        <v>73</v>
      </c>
      <c r="AM31" t="s">
        <v>79</v>
      </c>
      <c r="AN31" t="s">
        <v>323</v>
      </c>
      <c r="AO31" t="s">
        <v>339</v>
      </c>
    </row>
    <row r="32" spans="1:41" x14ac:dyDescent="0.35">
      <c r="A32" s="2" t="s">
        <v>258</v>
      </c>
      <c r="B32" s="2" t="s">
        <v>277</v>
      </c>
      <c r="C32" s="13">
        <v>45320</v>
      </c>
      <c r="D32" s="2" t="s">
        <v>291</v>
      </c>
      <c r="E32" s="2" t="s">
        <v>185</v>
      </c>
      <c r="F32" s="6">
        <v>35</v>
      </c>
      <c r="G32" s="6">
        <v>6</v>
      </c>
      <c r="H32" s="2" t="s">
        <v>73</v>
      </c>
      <c r="I32" s="2" t="s">
        <v>60</v>
      </c>
      <c r="J32" t="s">
        <v>75</v>
      </c>
      <c r="K32" t="s">
        <v>295</v>
      </c>
      <c r="L32" t="s">
        <v>296</v>
      </c>
      <c r="M32" t="s">
        <v>73</v>
      </c>
      <c r="N32" t="s">
        <v>73</v>
      </c>
      <c r="O32" t="s">
        <v>79</v>
      </c>
      <c r="P32" t="s">
        <v>297</v>
      </c>
      <c r="Q32" t="s">
        <v>81</v>
      </c>
      <c r="R32" t="s">
        <v>103</v>
      </c>
      <c r="S32" s="12">
        <v>1</v>
      </c>
      <c r="T32" s="12">
        <v>1</v>
      </c>
      <c r="U32" t="s">
        <v>78</v>
      </c>
      <c r="W32" t="s">
        <v>300</v>
      </c>
      <c r="X32" t="s">
        <v>99</v>
      </c>
      <c r="Y32" s="12">
        <v>1</v>
      </c>
      <c r="Z32" s="12">
        <v>1</v>
      </c>
      <c r="AA32" s="12">
        <v>0</v>
      </c>
      <c r="AB32" s="12">
        <v>0</v>
      </c>
      <c r="AC32" s="12" t="s">
        <v>79</v>
      </c>
      <c r="AD32" t="s">
        <v>306</v>
      </c>
      <c r="AE32" s="12">
        <v>1</v>
      </c>
      <c r="AF32" s="12">
        <v>1</v>
      </c>
      <c r="AG32" t="s">
        <v>86</v>
      </c>
      <c r="AH32" t="s">
        <v>78</v>
      </c>
      <c r="AI32" t="s">
        <v>100</v>
      </c>
      <c r="AJ32" t="s">
        <v>78</v>
      </c>
      <c r="AK32" t="s">
        <v>117</v>
      </c>
      <c r="AL32" t="s">
        <v>73</v>
      </c>
      <c r="AM32" t="s">
        <v>79</v>
      </c>
      <c r="AN32" t="s">
        <v>324</v>
      </c>
      <c r="AO32" t="s">
        <v>340</v>
      </c>
    </row>
    <row r="33" spans="1:41" x14ac:dyDescent="0.35">
      <c r="A33" s="2" t="s">
        <v>259</v>
      </c>
      <c r="B33" s="2" t="s">
        <v>278</v>
      </c>
      <c r="C33" s="13">
        <v>45321</v>
      </c>
      <c r="D33" s="2" t="s">
        <v>291</v>
      </c>
      <c r="E33" s="2" t="s">
        <v>12</v>
      </c>
      <c r="F33" s="6">
        <v>30</v>
      </c>
      <c r="G33" s="6">
        <v>2</v>
      </c>
      <c r="H33" s="2" t="s">
        <v>79</v>
      </c>
      <c r="I33" s="2" t="s">
        <v>130</v>
      </c>
      <c r="J33" t="s">
        <v>75</v>
      </c>
      <c r="K33" t="s">
        <v>76</v>
      </c>
      <c r="L33" t="s">
        <v>96</v>
      </c>
      <c r="M33" t="s">
        <v>73</v>
      </c>
      <c r="N33" t="s">
        <v>73</v>
      </c>
      <c r="O33" t="s">
        <v>79</v>
      </c>
      <c r="P33" t="s">
        <v>297</v>
      </c>
      <c r="Q33" t="s">
        <v>81</v>
      </c>
      <c r="R33" t="s">
        <v>103</v>
      </c>
      <c r="S33" s="12">
        <v>1</v>
      </c>
      <c r="T33" s="12">
        <v>1</v>
      </c>
      <c r="U33" t="s">
        <v>73</v>
      </c>
      <c r="W33" t="s">
        <v>300</v>
      </c>
      <c r="X33" t="s">
        <v>305</v>
      </c>
      <c r="Y33" s="12">
        <v>0</v>
      </c>
      <c r="Z33" s="12">
        <v>1</v>
      </c>
      <c r="AA33" s="12">
        <v>1</v>
      </c>
      <c r="AB33" s="12">
        <v>1</v>
      </c>
      <c r="AC33" s="12" t="s">
        <v>79</v>
      </c>
      <c r="AD33" t="s">
        <v>306</v>
      </c>
      <c r="AE33" s="12">
        <v>1</v>
      </c>
      <c r="AF33" s="12">
        <v>1</v>
      </c>
      <c r="AG33" t="s">
        <v>86</v>
      </c>
      <c r="AH33" t="s">
        <v>107</v>
      </c>
      <c r="AI33">
        <v>20</v>
      </c>
      <c r="AJ33" t="s">
        <v>73</v>
      </c>
      <c r="AK33" t="s">
        <v>309</v>
      </c>
      <c r="AL33" t="s">
        <v>73</v>
      </c>
      <c r="AM33" t="s">
        <v>73</v>
      </c>
      <c r="AN33" t="s">
        <v>92</v>
      </c>
      <c r="AO33" t="s">
        <v>341</v>
      </c>
    </row>
    <row r="34" spans="1:41" x14ac:dyDescent="0.35">
      <c r="A34" s="2" t="s">
        <v>260</v>
      </c>
      <c r="B34" s="2" t="s">
        <v>279</v>
      </c>
      <c r="C34" s="13">
        <v>45321</v>
      </c>
      <c r="D34" s="2" t="s">
        <v>291</v>
      </c>
      <c r="E34" s="2" t="s">
        <v>12</v>
      </c>
      <c r="F34" s="6">
        <v>30</v>
      </c>
      <c r="G34" s="6">
        <v>2</v>
      </c>
      <c r="H34" s="2" t="s">
        <v>79</v>
      </c>
      <c r="I34" s="2" t="s">
        <v>130</v>
      </c>
      <c r="J34" t="s">
        <v>75</v>
      </c>
      <c r="K34" t="s">
        <v>76</v>
      </c>
      <c r="L34" t="s">
        <v>96</v>
      </c>
      <c r="M34" t="s">
        <v>73</v>
      </c>
      <c r="N34" t="s">
        <v>73</v>
      </c>
      <c r="O34" t="s">
        <v>79</v>
      </c>
      <c r="P34" t="s">
        <v>297</v>
      </c>
      <c r="Q34" t="s">
        <v>81</v>
      </c>
      <c r="R34" t="s">
        <v>103</v>
      </c>
      <c r="S34" s="12">
        <v>1</v>
      </c>
      <c r="T34" s="12">
        <v>1</v>
      </c>
      <c r="U34" t="s">
        <v>73</v>
      </c>
      <c r="W34" t="s">
        <v>300</v>
      </c>
      <c r="X34" t="s">
        <v>111</v>
      </c>
      <c r="Y34" s="12">
        <v>1</v>
      </c>
      <c r="Z34" s="12">
        <v>0</v>
      </c>
      <c r="AA34" s="12">
        <v>0</v>
      </c>
      <c r="AB34" s="12">
        <v>0</v>
      </c>
      <c r="AC34" s="12" t="s">
        <v>79</v>
      </c>
      <c r="AD34" t="s">
        <v>306</v>
      </c>
      <c r="AE34" s="12">
        <v>1</v>
      </c>
      <c r="AF34" s="12">
        <v>1</v>
      </c>
      <c r="AG34" t="s">
        <v>86</v>
      </c>
      <c r="AH34" t="s">
        <v>107</v>
      </c>
      <c r="AI34" t="s">
        <v>100</v>
      </c>
      <c r="AJ34" t="s">
        <v>73</v>
      </c>
      <c r="AK34" t="s">
        <v>309</v>
      </c>
      <c r="AL34" t="s">
        <v>73</v>
      </c>
      <c r="AM34" t="s">
        <v>79</v>
      </c>
      <c r="AN34" t="s">
        <v>325</v>
      </c>
      <c r="AO34" t="s">
        <v>342</v>
      </c>
    </row>
    <row r="35" spans="1:41" x14ac:dyDescent="0.35">
      <c r="A35" s="2" t="s">
        <v>261</v>
      </c>
      <c r="B35" s="2" t="s">
        <v>280</v>
      </c>
      <c r="C35" s="13">
        <v>45321</v>
      </c>
      <c r="D35" s="2" t="s">
        <v>291</v>
      </c>
      <c r="E35" s="2" t="s">
        <v>185</v>
      </c>
      <c r="F35" s="6">
        <v>88</v>
      </c>
      <c r="G35" s="6">
        <v>0.25</v>
      </c>
      <c r="H35" s="2" t="s">
        <v>73</v>
      </c>
      <c r="I35" s="2" t="s">
        <v>60</v>
      </c>
      <c r="J35" t="s">
        <v>75</v>
      </c>
      <c r="K35" t="s">
        <v>76</v>
      </c>
      <c r="L35" t="s">
        <v>96</v>
      </c>
      <c r="M35" t="s">
        <v>73</v>
      </c>
      <c r="N35" t="s">
        <v>73</v>
      </c>
      <c r="O35" t="s">
        <v>73</v>
      </c>
      <c r="P35" t="s">
        <v>60</v>
      </c>
      <c r="Q35" t="s">
        <v>81</v>
      </c>
      <c r="R35" t="s">
        <v>103</v>
      </c>
      <c r="S35" s="12">
        <v>1</v>
      </c>
      <c r="T35" s="12">
        <v>1</v>
      </c>
      <c r="U35" t="s">
        <v>73</v>
      </c>
      <c r="W35" t="s">
        <v>300</v>
      </c>
      <c r="X35" t="s">
        <v>304</v>
      </c>
      <c r="Y35" s="12">
        <v>1</v>
      </c>
      <c r="Z35" s="12">
        <v>1</v>
      </c>
      <c r="AA35" s="12">
        <v>0</v>
      </c>
      <c r="AB35" s="12">
        <v>1</v>
      </c>
      <c r="AC35" s="12" t="s">
        <v>79</v>
      </c>
      <c r="AD35" t="s">
        <v>306</v>
      </c>
      <c r="AE35" s="12">
        <v>1</v>
      </c>
      <c r="AF35" s="12">
        <v>1</v>
      </c>
      <c r="AG35" t="s">
        <v>86</v>
      </c>
      <c r="AH35" t="s">
        <v>87</v>
      </c>
      <c r="AI35" t="s">
        <v>78</v>
      </c>
      <c r="AJ35" t="s">
        <v>73</v>
      </c>
      <c r="AK35" t="s">
        <v>314</v>
      </c>
      <c r="AL35" t="s">
        <v>73</v>
      </c>
      <c r="AM35" t="s">
        <v>79</v>
      </c>
      <c r="AN35" t="s">
        <v>326</v>
      </c>
      <c r="AO35" t="s">
        <v>343</v>
      </c>
    </row>
    <row r="36" spans="1:41" x14ac:dyDescent="0.35">
      <c r="A36" s="2" t="s">
        <v>262</v>
      </c>
      <c r="B36" s="2" t="s">
        <v>281</v>
      </c>
      <c r="C36" s="13">
        <v>45327</v>
      </c>
      <c r="D36" s="2" t="s">
        <v>291</v>
      </c>
      <c r="E36" s="2" t="s">
        <v>12</v>
      </c>
      <c r="F36" s="6">
        <v>35</v>
      </c>
      <c r="G36" s="6">
        <v>3</v>
      </c>
      <c r="H36" s="2" t="s">
        <v>79</v>
      </c>
      <c r="I36" s="2" t="s">
        <v>130</v>
      </c>
      <c r="J36" t="s">
        <v>75</v>
      </c>
      <c r="K36" t="s">
        <v>76</v>
      </c>
      <c r="L36" t="s">
        <v>96</v>
      </c>
      <c r="M36" t="s">
        <v>73</v>
      </c>
      <c r="N36" t="s">
        <v>73</v>
      </c>
      <c r="O36" t="s">
        <v>79</v>
      </c>
      <c r="P36" t="s">
        <v>297</v>
      </c>
      <c r="Q36" t="s">
        <v>298</v>
      </c>
      <c r="R36" t="s">
        <v>103</v>
      </c>
      <c r="S36" s="12">
        <v>1</v>
      </c>
      <c r="T36" s="12">
        <v>1</v>
      </c>
      <c r="U36" t="s">
        <v>73</v>
      </c>
      <c r="W36" t="s">
        <v>300</v>
      </c>
      <c r="X36" t="s">
        <v>111</v>
      </c>
      <c r="Y36" s="12">
        <v>1</v>
      </c>
      <c r="Z36" s="12">
        <v>0</v>
      </c>
      <c r="AA36" s="12">
        <v>0</v>
      </c>
      <c r="AB36" s="12">
        <v>0</v>
      </c>
      <c r="AC36" s="12" t="s">
        <v>79</v>
      </c>
      <c r="AD36" t="s">
        <v>307</v>
      </c>
      <c r="AE36" s="12">
        <v>0</v>
      </c>
      <c r="AF36" s="12">
        <v>1</v>
      </c>
      <c r="AG36" t="s">
        <v>106</v>
      </c>
      <c r="AH36" t="s">
        <v>87</v>
      </c>
      <c r="AI36" t="s">
        <v>100</v>
      </c>
      <c r="AJ36" t="s">
        <v>73</v>
      </c>
      <c r="AK36" t="s">
        <v>315</v>
      </c>
      <c r="AL36" t="s">
        <v>73</v>
      </c>
      <c r="AM36" t="s">
        <v>79</v>
      </c>
      <c r="AN36" t="s">
        <v>327</v>
      </c>
      <c r="AO36" t="s">
        <v>344</v>
      </c>
    </row>
    <row r="37" spans="1:41" x14ac:dyDescent="0.35">
      <c r="A37" s="2" t="s">
        <v>263</v>
      </c>
      <c r="B37" s="2" t="s">
        <v>282</v>
      </c>
      <c r="C37" s="13">
        <v>45328</v>
      </c>
      <c r="D37" s="2" t="s">
        <v>292</v>
      </c>
      <c r="E37" s="2" t="s">
        <v>12</v>
      </c>
      <c r="F37" s="6">
        <v>43</v>
      </c>
      <c r="G37" s="6">
        <v>3</v>
      </c>
      <c r="H37" s="2" t="s">
        <v>79</v>
      </c>
      <c r="I37" s="2" t="s">
        <v>130</v>
      </c>
      <c r="J37" t="s">
        <v>75</v>
      </c>
      <c r="K37" t="s">
        <v>76</v>
      </c>
      <c r="L37" t="s">
        <v>96</v>
      </c>
      <c r="M37" t="s">
        <v>79</v>
      </c>
      <c r="N37" t="s">
        <v>73</v>
      </c>
      <c r="O37" t="s">
        <v>79</v>
      </c>
      <c r="P37" t="s">
        <v>297</v>
      </c>
      <c r="Q37" t="s">
        <v>81</v>
      </c>
      <c r="R37" t="s">
        <v>103</v>
      </c>
      <c r="S37" s="12">
        <v>1</v>
      </c>
      <c r="T37" s="12">
        <v>1</v>
      </c>
      <c r="U37" t="s">
        <v>79</v>
      </c>
      <c r="V37" t="s">
        <v>100</v>
      </c>
      <c r="W37" t="s">
        <v>300</v>
      </c>
      <c r="X37" t="s">
        <v>84</v>
      </c>
      <c r="Y37" s="12">
        <v>1</v>
      </c>
      <c r="Z37" s="12">
        <v>1</v>
      </c>
      <c r="AA37" s="12">
        <v>1</v>
      </c>
      <c r="AB37" s="12">
        <v>1</v>
      </c>
      <c r="AC37" s="12" t="s">
        <v>79</v>
      </c>
      <c r="AD37" t="s">
        <v>306</v>
      </c>
      <c r="AE37" s="12">
        <v>1</v>
      </c>
      <c r="AF37" s="12">
        <v>1</v>
      </c>
      <c r="AG37" t="s">
        <v>86</v>
      </c>
      <c r="AH37" t="s">
        <v>87</v>
      </c>
      <c r="AI37" t="s">
        <v>100</v>
      </c>
      <c r="AJ37" t="s">
        <v>79</v>
      </c>
      <c r="AK37" t="s">
        <v>117</v>
      </c>
      <c r="AL37" t="s">
        <v>73</v>
      </c>
      <c r="AM37" t="s">
        <v>73</v>
      </c>
      <c r="AN37" t="s">
        <v>92</v>
      </c>
      <c r="AO37" t="s">
        <v>345</v>
      </c>
    </row>
    <row r="38" spans="1:41" x14ac:dyDescent="0.35">
      <c r="A38" s="2" t="s">
        <v>264</v>
      </c>
      <c r="B38" s="2" t="s">
        <v>283</v>
      </c>
      <c r="C38" s="13">
        <v>45328</v>
      </c>
      <c r="D38" s="2" t="s">
        <v>292</v>
      </c>
      <c r="E38" s="2" t="s">
        <v>12</v>
      </c>
      <c r="F38" s="6">
        <v>29</v>
      </c>
      <c r="G38" s="6">
        <v>2</v>
      </c>
      <c r="H38" s="2" t="s">
        <v>79</v>
      </c>
      <c r="I38" s="2" t="s">
        <v>130</v>
      </c>
      <c r="J38" t="s">
        <v>75</v>
      </c>
      <c r="K38" t="s">
        <v>76</v>
      </c>
      <c r="L38" t="s">
        <v>96</v>
      </c>
      <c r="M38" t="s">
        <v>73</v>
      </c>
      <c r="N38" t="s">
        <v>73</v>
      </c>
      <c r="O38" t="s">
        <v>79</v>
      </c>
      <c r="P38" t="s">
        <v>297</v>
      </c>
      <c r="Q38" t="s">
        <v>298</v>
      </c>
      <c r="R38" t="s">
        <v>103</v>
      </c>
      <c r="S38" s="12">
        <v>1</v>
      </c>
      <c r="T38" s="12">
        <v>1</v>
      </c>
      <c r="U38" t="s">
        <v>78</v>
      </c>
      <c r="W38" t="s">
        <v>300</v>
      </c>
      <c r="X38" t="s">
        <v>99</v>
      </c>
      <c r="Y38" s="12">
        <v>1</v>
      </c>
      <c r="Z38" s="12">
        <v>1</v>
      </c>
      <c r="AA38" s="12">
        <v>0</v>
      </c>
      <c r="AB38" s="12">
        <v>0</v>
      </c>
      <c r="AC38" s="12" t="s">
        <v>79</v>
      </c>
      <c r="AD38" t="s">
        <v>307</v>
      </c>
      <c r="AE38" s="12">
        <v>0</v>
      </c>
      <c r="AF38" s="12">
        <v>1</v>
      </c>
      <c r="AG38" t="s">
        <v>86</v>
      </c>
      <c r="AH38" t="s">
        <v>87</v>
      </c>
      <c r="AI38" t="s">
        <v>100</v>
      </c>
      <c r="AJ38" t="s">
        <v>78</v>
      </c>
      <c r="AK38" t="s">
        <v>78</v>
      </c>
      <c r="AL38" t="s">
        <v>73</v>
      </c>
      <c r="AM38" t="s">
        <v>79</v>
      </c>
      <c r="AN38" t="s">
        <v>328</v>
      </c>
      <c r="AO38" t="s">
        <v>346</v>
      </c>
    </row>
    <row r="39" spans="1:41" x14ac:dyDescent="0.35">
      <c r="A39" s="2" t="s">
        <v>265</v>
      </c>
      <c r="B39" s="2" t="s">
        <v>284</v>
      </c>
      <c r="C39" s="13">
        <v>45334</v>
      </c>
      <c r="D39" s="2" t="s">
        <v>293</v>
      </c>
      <c r="E39" s="2" t="s">
        <v>185</v>
      </c>
      <c r="F39" s="6">
        <v>10</v>
      </c>
      <c r="G39" s="6">
        <v>0.66666666666666663</v>
      </c>
      <c r="H39" s="2" t="s">
        <v>73</v>
      </c>
      <c r="I39" s="2" t="s">
        <v>60</v>
      </c>
      <c r="J39" t="s">
        <v>75</v>
      </c>
      <c r="K39" t="s">
        <v>76</v>
      </c>
      <c r="L39" t="s">
        <v>96</v>
      </c>
      <c r="M39" t="s">
        <v>79</v>
      </c>
      <c r="N39" t="s">
        <v>73</v>
      </c>
      <c r="O39" t="s">
        <v>79</v>
      </c>
      <c r="P39" t="s">
        <v>297</v>
      </c>
      <c r="Q39" t="s">
        <v>81</v>
      </c>
      <c r="R39" t="s">
        <v>103</v>
      </c>
      <c r="S39" s="12">
        <v>1</v>
      </c>
      <c r="T39" s="12">
        <v>1</v>
      </c>
      <c r="U39" t="s">
        <v>78</v>
      </c>
      <c r="W39" t="s">
        <v>300</v>
      </c>
      <c r="X39" t="s">
        <v>99</v>
      </c>
      <c r="Y39" s="12">
        <v>1</v>
      </c>
      <c r="Z39" s="12">
        <v>1</v>
      </c>
      <c r="AA39" s="12">
        <v>0</v>
      </c>
      <c r="AB39" s="12">
        <v>0</v>
      </c>
      <c r="AC39" s="12" t="s">
        <v>79</v>
      </c>
      <c r="AD39" t="s">
        <v>306</v>
      </c>
      <c r="AE39" s="12">
        <v>1</v>
      </c>
      <c r="AF39" s="12">
        <v>1</v>
      </c>
      <c r="AG39" t="s">
        <v>86</v>
      </c>
      <c r="AH39" t="s">
        <v>87</v>
      </c>
      <c r="AI39" t="s">
        <v>100</v>
      </c>
      <c r="AJ39" t="s">
        <v>79</v>
      </c>
      <c r="AK39" t="s">
        <v>316</v>
      </c>
      <c r="AL39" t="s">
        <v>73</v>
      </c>
      <c r="AM39" t="s">
        <v>79</v>
      </c>
      <c r="AN39" t="s">
        <v>329</v>
      </c>
      <c r="AO39" t="s">
        <v>347</v>
      </c>
    </row>
    <row r="40" spans="1:41" x14ac:dyDescent="0.35">
      <c r="A40" s="2" t="s">
        <v>266</v>
      </c>
      <c r="B40" s="2" t="s">
        <v>285</v>
      </c>
      <c r="C40" s="13">
        <v>45334</v>
      </c>
      <c r="D40" s="2" t="s">
        <v>294</v>
      </c>
      <c r="E40" s="2" t="s">
        <v>12</v>
      </c>
      <c r="F40" s="6">
        <v>16</v>
      </c>
      <c r="G40" s="6">
        <v>1</v>
      </c>
      <c r="H40" s="2" t="s">
        <v>79</v>
      </c>
      <c r="I40" s="2" t="s">
        <v>130</v>
      </c>
      <c r="J40" t="s">
        <v>75</v>
      </c>
      <c r="K40" t="s">
        <v>76</v>
      </c>
      <c r="L40" t="s">
        <v>96</v>
      </c>
      <c r="M40" t="s">
        <v>73</v>
      </c>
      <c r="N40" t="s">
        <v>73</v>
      </c>
      <c r="O40" t="s">
        <v>73</v>
      </c>
      <c r="P40" t="s">
        <v>60</v>
      </c>
      <c r="Q40" t="s">
        <v>299</v>
      </c>
      <c r="R40" t="s">
        <v>103</v>
      </c>
      <c r="S40" s="12">
        <v>1</v>
      </c>
      <c r="T40" s="12">
        <v>1</v>
      </c>
      <c r="U40" t="s">
        <v>79</v>
      </c>
      <c r="V40" t="s">
        <v>100</v>
      </c>
      <c r="W40" t="s">
        <v>300</v>
      </c>
      <c r="X40" t="s">
        <v>111</v>
      </c>
      <c r="Y40" s="12">
        <v>1</v>
      </c>
      <c r="Z40" s="12">
        <v>0</v>
      </c>
      <c r="AA40" s="12">
        <v>0</v>
      </c>
      <c r="AB40" s="12">
        <v>0</v>
      </c>
      <c r="AC40" s="12" t="s">
        <v>79</v>
      </c>
      <c r="AD40" t="s">
        <v>306</v>
      </c>
      <c r="AE40" s="12">
        <v>1</v>
      </c>
      <c r="AF40" s="12">
        <v>1</v>
      </c>
      <c r="AG40" t="s">
        <v>86</v>
      </c>
      <c r="AH40" t="s">
        <v>87</v>
      </c>
      <c r="AI40" t="s">
        <v>100</v>
      </c>
      <c r="AJ40" t="s">
        <v>79</v>
      </c>
      <c r="AK40" t="s">
        <v>316</v>
      </c>
      <c r="AL40" t="s">
        <v>73</v>
      </c>
      <c r="AM40" t="s">
        <v>79</v>
      </c>
      <c r="AN40" t="s">
        <v>327</v>
      </c>
      <c r="AO40" t="s">
        <v>348</v>
      </c>
    </row>
    <row r="41" spans="1:41" x14ac:dyDescent="0.35">
      <c r="A41" s="2" t="s">
        <v>267</v>
      </c>
      <c r="B41" s="2" t="s">
        <v>286</v>
      </c>
      <c r="C41" s="13">
        <v>45335</v>
      </c>
      <c r="D41" s="2" t="s">
        <v>291</v>
      </c>
      <c r="E41" s="2" t="s">
        <v>185</v>
      </c>
      <c r="F41" s="6">
        <v>52</v>
      </c>
      <c r="G41" s="6">
        <v>0.5</v>
      </c>
      <c r="H41" s="2" t="s">
        <v>73</v>
      </c>
      <c r="I41" s="2" t="s">
        <v>60</v>
      </c>
      <c r="J41" t="s">
        <v>75</v>
      </c>
      <c r="K41" t="s">
        <v>76</v>
      </c>
      <c r="L41" t="s">
        <v>96</v>
      </c>
      <c r="M41" t="s">
        <v>73</v>
      </c>
      <c r="N41" t="s">
        <v>73</v>
      </c>
      <c r="O41" t="s">
        <v>79</v>
      </c>
      <c r="P41" t="s">
        <v>297</v>
      </c>
      <c r="Q41" t="s">
        <v>298</v>
      </c>
      <c r="R41" t="s">
        <v>103</v>
      </c>
      <c r="S41" s="12">
        <v>1</v>
      </c>
      <c r="T41" s="12">
        <v>1</v>
      </c>
      <c r="U41" t="s">
        <v>79</v>
      </c>
      <c r="V41" t="s">
        <v>100</v>
      </c>
      <c r="W41" t="s">
        <v>300</v>
      </c>
      <c r="X41" t="s">
        <v>111</v>
      </c>
      <c r="Y41" s="12">
        <v>1</v>
      </c>
      <c r="Z41" s="12">
        <v>0</v>
      </c>
      <c r="AA41" s="12">
        <v>0</v>
      </c>
      <c r="AB41" s="12">
        <v>0</v>
      </c>
      <c r="AC41" s="12" t="s">
        <v>79</v>
      </c>
      <c r="AD41" t="s">
        <v>307</v>
      </c>
      <c r="AE41" s="12">
        <v>0</v>
      </c>
      <c r="AF41" s="12">
        <v>1</v>
      </c>
      <c r="AG41" t="s">
        <v>86</v>
      </c>
      <c r="AH41" t="s">
        <v>87</v>
      </c>
      <c r="AI41" t="s">
        <v>100</v>
      </c>
      <c r="AJ41" t="s">
        <v>79</v>
      </c>
      <c r="AK41" t="s">
        <v>317</v>
      </c>
      <c r="AL41" t="s">
        <v>73</v>
      </c>
      <c r="AM41" t="s">
        <v>79</v>
      </c>
      <c r="AN41" t="s">
        <v>330</v>
      </c>
      <c r="AO41" t="s">
        <v>349</v>
      </c>
    </row>
    <row r="42" spans="1:41" x14ac:dyDescent="0.35">
      <c r="A42" s="2" t="s">
        <v>268</v>
      </c>
      <c r="B42" s="2" t="s">
        <v>287</v>
      </c>
      <c r="C42" s="13">
        <v>45335</v>
      </c>
      <c r="D42" s="2" t="s">
        <v>288</v>
      </c>
      <c r="E42" s="2" t="s">
        <v>12</v>
      </c>
      <c r="F42" s="6">
        <v>14</v>
      </c>
      <c r="G42" s="6">
        <v>0.25</v>
      </c>
      <c r="H42" s="2" t="s">
        <v>79</v>
      </c>
      <c r="I42" s="2" t="s">
        <v>130</v>
      </c>
      <c r="J42" t="s">
        <v>75</v>
      </c>
      <c r="K42" t="s">
        <v>76</v>
      </c>
      <c r="L42" t="s">
        <v>96</v>
      </c>
      <c r="M42" t="s">
        <v>73</v>
      </c>
      <c r="N42" t="s">
        <v>73</v>
      </c>
      <c r="O42" t="s">
        <v>79</v>
      </c>
      <c r="P42" t="s">
        <v>297</v>
      </c>
      <c r="Q42" t="s">
        <v>298</v>
      </c>
      <c r="R42" t="s">
        <v>103</v>
      </c>
      <c r="S42" s="12">
        <v>1</v>
      </c>
      <c r="T42" s="12">
        <v>1</v>
      </c>
      <c r="U42" t="s">
        <v>78</v>
      </c>
      <c r="W42" t="s">
        <v>92</v>
      </c>
      <c r="X42" t="s">
        <v>99</v>
      </c>
      <c r="Y42" s="12">
        <v>1</v>
      </c>
      <c r="Z42" s="12">
        <v>1</v>
      </c>
      <c r="AA42" s="12">
        <v>0</v>
      </c>
      <c r="AB42" s="12">
        <v>0</v>
      </c>
      <c r="AC42" s="12" t="s">
        <v>79</v>
      </c>
      <c r="AD42" t="s">
        <v>307</v>
      </c>
      <c r="AE42" s="12">
        <v>0</v>
      </c>
      <c r="AF42" s="12">
        <v>1</v>
      </c>
      <c r="AG42" t="s">
        <v>86</v>
      </c>
      <c r="AH42" t="s">
        <v>87</v>
      </c>
      <c r="AI42" t="s">
        <v>78</v>
      </c>
      <c r="AJ42" t="s">
        <v>73</v>
      </c>
      <c r="AK42" t="s">
        <v>318</v>
      </c>
      <c r="AL42" t="s">
        <v>73</v>
      </c>
      <c r="AM42" t="s">
        <v>79</v>
      </c>
      <c r="AN42" t="s">
        <v>331</v>
      </c>
      <c r="AO42" t="s">
        <v>350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2"/>
  <sheetViews>
    <sheetView workbookViewId="0">
      <selection activeCell="D41" sqref="D41"/>
    </sheetView>
  </sheetViews>
  <sheetFormatPr defaultRowHeight="14.5" x14ac:dyDescent="0.35"/>
  <cols>
    <col min="1" max="1" width="18.6328125" bestFit="1" customWidth="1"/>
    <col min="2" max="2" width="10.08984375" bestFit="1" customWidth="1"/>
    <col min="3" max="3" width="15.7265625" bestFit="1" customWidth="1"/>
    <col min="4" max="4" width="5.36328125" bestFit="1" customWidth="1"/>
    <col min="5" max="5" width="12.1796875" bestFit="1" customWidth="1"/>
    <col min="6" max="6" width="17.7265625" bestFit="1" customWidth="1"/>
    <col min="7" max="7" width="18.90625" bestFit="1" customWidth="1"/>
    <col min="8" max="8" width="9.453125" bestFit="1" customWidth="1"/>
    <col min="9" max="9" width="18" customWidth="1"/>
    <col min="10" max="10" width="11.1796875" bestFit="1" customWidth="1"/>
  </cols>
  <sheetData>
    <row r="1" spans="1:10" x14ac:dyDescent="0.35">
      <c r="A1" s="8" t="s">
        <v>178</v>
      </c>
      <c r="B1" s="4" t="s">
        <v>179</v>
      </c>
      <c r="C1" s="4" t="s">
        <v>180</v>
      </c>
      <c r="D1" s="8" t="s">
        <v>220</v>
      </c>
      <c r="E1" s="8" t="s">
        <v>221</v>
      </c>
      <c r="F1" s="8" t="s">
        <v>222</v>
      </c>
      <c r="G1" s="8" t="s">
        <v>213</v>
      </c>
      <c r="H1" s="8" t="s">
        <v>223</v>
      </c>
      <c r="I1" s="8" t="s">
        <v>224</v>
      </c>
      <c r="J1" s="8" t="s">
        <v>225</v>
      </c>
    </row>
    <row r="2" spans="1:10" x14ac:dyDescent="0.35">
      <c r="A2" s="7" t="s">
        <v>7</v>
      </c>
      <c r="B2" s="7" t="s">
        <v>4</v>
      </c>
      <c r="C2" s="13">
        <v>45022</v>
      </c>
      <c r="D2" s="19">
        <v>1</v>
      </c>
      <c r="E2" s="19">
        <v>0.4</v>
      </c>
      <c r="F2" s="19">
        <v>1.7</v>
      </c>
      <c r="G2" s="19">
        <v>1.6953</v>
      </c>
      <c r="H2" s="19">
        <v>1.6914</v>
      </c>
      <c r="I2" s="6">
        <v>169.14000000000001</v>
      </c>
      <c r="J2" s="6">
        <v>0</v>
      </c>
    </row>
    <row r="3" spans="1:10" x14ac:dyDescent="0.35">
      <c r="A3" s="2" t="s">
        <v>8</v>
      </c>
      <c r="B3" s="7" t="s">
        <v>5</v>
      </c>
      <c r="C3" s="13">
        <v>45022</v>
      </c>
      <c r="D3" s="19">
        <v>1.64</v>
      </c>
      <c r="E3" s="19">
        <v>0.53</v>
      </c>
      <c r="F3" s="19">
        <v>2.36</v>
      </c>
      <c r="G3" s="19">
        <v>3.86</v>
      </c>
      <c r="H3" s="19">
        <v>3</v>
      </c>
      <c r="I3" s="6">
        <v>1000</v>
      </c>
      <c r="J3" s="6">
        <v>11</v>
      </c>
    </row>
    <row r="4" spans="1:10" x14ac:dyDescent="0.35">
      <c r="A4" s="7" t="s">
        <v>6</v>
      </c>
      <c r="B4" s="7" t="s">
        <v>3</v>
      </c>
      <c r="C4" s="13">
        <v>45028</v>
      </c>
      <c r="D4" s="19">
        <v>1.57</v>
      </c>
      <c r="E4" s="19">
        <v>0.89</v>
      </c>
      <c r="F4" s="19">
        <v>2.7</v>
      </c>
      <c r="G4" s="19">
        <v>4.2476000000000003</v>
      </c>
      <c r="H4" s="19">
        <v>4.2336999999999998</v>
      </c>
      <c r="I4" s="6">
        <v>705.61666666666667</v>
      </c>
      <c r="J4" s="6">
        <v>0</v>
      </c>
    </row>
    <row r="5" spans="1:10" x14ac:dyDescent="0.35">
      <c r="A5" s="2" t="s">
        <v>1</v>
      </c>
      <c r="B5" s="7" t="s">
        <v>2</v>
      </c>
      <c r="C5" s="13">
        <v>45028</v>
      </c>
      <c r="D5" s="19">
        <v>0.92</v>
      </c>
      <c r="E5" s="19">
        <v>0.71</v>
      </c>
      <c r="F5" s="19">
        <v>1.75</v>
      </c>
      <c r="G5" s="19">
        <v>1.6</v>
      </c>
      <c r="H5" s="19">
        <v>0.95</v>
      </c>
      <c r="I5" s="6">
        <v>52.777777777777779</v>
      </c>
      <c r="J5" s="6">
        <v>5</v>
      </c>
    </row>
    <row r="6" spans="1:10" x14ac:dyDescent="0.35">
      <c r="A6" s="2" t="s">
        <v>17</v>
      </c>
      <c r="B6" s="7" t="s">
        <v>18</v>
      </c>
      <c r="C6" s="13">
        <v>45035</v>
      </c>
      <c r="D6" s="5">
        <v>0.96</v>
      </c>
      <c r="E6" s="5">
        <v>0.47</v>
      </c>
      <c r="F6" s="5">
        <v>1.35</v>
      </c>
      <c r="G6" s="5">
        <v>1.29</v>
      </c>
      <c r="H6" s="5">
        <v>0.85</v>
      </c>
      <c r="I6" s="6">
        <v>212.5</v>
      </c>
      <c r="J6" s="6">
        <v>8</v>
      </c>
    </row>
    <row r="7" spans="1:10" x14ac:dyDescent="0.35">
      <c r="A7" s="2" t="s">
        <v>19</v>
      </c>
      <c r="B7" s="7" t="s">
        <v>20</v>
      </c>
      <c r="C7" s="13">
        <v>45035</v>
      </c>
      <c r="D7" s="5">
        <v>1.1200000000000001</v>
      </c>
      <c r="E7" s="5">
        <v>0.65</v>
      </c>
      <c r="F7" s="5">
        <v>2.0099999999999998</v>
      </c>
      <c r="G7" s="5">
        <v>2.25</v>
      </c>
      <c r="H7" s="5">
        <v>1.53</v>
      </c>
      <c r="I7" s="6">
        <v>44.780487804878049</v>
      </c>
      <c r="J7" s="6">
        <v>10</v>
      </c>
    </row>
    <row r="8" spans="1:10" x14ac:dyDescent="0.35">
      <c r="A8" s="2" t="s">
        <v>21</v>
      </c>
      <c r="B8" s="2" t="s">
        <v>23</v>
      </c>
      <c r="C8" s="13">
        <v>45042</v>
      </c>
      <c r="D8" s="5">
        <v>1.46</v>
      </c>
      <c r="E8" s="5">
        <v>0.28000000000000003</v>
      </c>
      <c r="F8" s="5">
        <v>1.66</v>
      </c>
      <c r="G8" s="5">
        <v>2.42</v>
      </c>
      <c r="H8" s="5">
        <v>2.02</v>
      </c>
      <c r="I8" s="6">
        <v>91.818181818181813</v>
      </c>
      <c r="J8" s="6">
        <v>16</v>
      </c>
    </row>
    <row r="9" spans="1:10" x14ac:dyDescent="0.35">
      <c r="A9" s="2" t="s">
        <v>22</v>
      </c>
      <c r="B9" s="2" t="s">
        <v>24</v>
      </c>
      <c r="C9" s="13">
        <v>45042</v>
      </c>
      <c r="D9" s="5">
        <v>2.84</v>
      </c>
      <c r="E9" s="5">
        <v>0.86</v>
      </c>
      <c r="F9" s="5">
        <v>1.85</v>
      </c>
      <c r="G9" s="5">
        <v>5.25</v>
      </c>
      <c r="H9" s="5">
        <v>2.82</v>
      </c>
      <c r="I9" s="6">
        <v>176.25</v>
      </c>
      <c r="J9" s="6">
        <v>10</v>
      </c>
    </row>
    <row r="10" spans="1:10" x14ac:dyDescent="0.35">
      <c r="A10" s="2" t="s">
        <v>28</v>
      </c>
      <c r="B10" s="7" t="s">
        <v>30</v>
      </c>
      <c r="C10" s="13">
        <v>45055</v>
      </c>
      <c r="D10" s="5">
        <v>1.44</v>
      </c>
      <c r="E10" s="5">
        <v>0.72</v>
      </c>
      <c r="F10" s="5">
        <v>2.34</v>
      </c>
      <c r="G10" s="5">
        <v>3.36</v>
      </c>
      <c r="H10" s="5">
        <v>2.33</v>
      </c>
      <c r="I10" s="6">
        <v>3.0657894736842106</v>
      </c>
      <c r="J10" s="6">
        <v>0</v>
      </c>
    </row>
    <row r="11" spans="1:10" x14ac:dyDescent="0.35">
      <c r="A11" s="2" t="s">
        <v>29</v>
      </c>
      <c r="B11" s="7" t="s">
        <v>31</v>
      </c>
      <c r="C11" s="13">
        <v>45055</v>
      </c>
      <c r="D11" s="5">
        <v>1.91</v>
      </c>
      <c r="E11" s="5">
        <v>0.98</v>
      </c>
      <c r="F11" s="5">
        <v>1.92</v>
      </c>
      <c r="G11" s="5">
        <v>3.66</v>
      </c>
      <c r="H11" s="5">
        <v>1.8</v>
      </c>
      <c r="I11" s="6">
        <v>1.6304347826086956</v>
      </c>
      <c r="J11" s="6">
        <v>5</v>
      </c>
    </row>
    <row r="12" spans="1:10" x14ac:dyDescent="0.35">
      <c r="A12" s="2" t="s">
        <v>37</v>
      </c>
      <c r="B12" s="2" t="s">
        <v>35</v>
      </c>
      <c r="C12" s="13">
        <v>45071</v>
      </c>
      <c r="D12" s="5">
        <v>0.32</v>
      </c>
      <c r="E12" s="5">
        <v>0.38</v>
      </c>
      <c r="F12" s="5">
        <v>1.24</v>
      </c>
      <c r="G12" s="5">
        <v>0.4</v>
      </c>
      <c r="H12" s="5">
        <v>0.28000000000000003</v>
      </c>
      <c r="I12" s="6">
        <v>70</v>
      </c>
      <c r="J12" s="6">
        <v>0</v>
      </c>
    </row>
    <row r="13" spans="1:10" x14ac:dyDescent="0.35">
      <c r="A13" s="2" t="s">
        <v>38</v>
      </c>
      <c r="B13" s="2" t="s">
        <v>36</v>
      </c>
      <c r="C13" s="13">
        <v>45071</v>
      </c>
      <c r="D13" s="5">
        <v>0.16</v>
      </c>
      <c r="E13" s="5">
        <v>0.49</v>
      </c>
      <c r="F13" s="5">
        <v>1.6</v>
      </c>
      <c r="G13" s="5">
        <v>0.25</v>
      </c>
      <c r="H13" s="5">
        <v>0.17</v>
      </c>
      <c r="I13" s="6">
        <v>85</v>
      </c>
      <c r="J13" s="6">
        <v>10</v>
      </c>
    </row>
    <row r="14" spans="1:10" x14ac:dyDescent="0.35">
      <c r="A14" s="2" t="s">
        <v>39</v>
      </c>
      <c r="B14" s="2" t="s">
        <v>40</v>
      </c>
      <c r="C14" s="13">
        <v>45077</v>
      </c>
      <c r="D14" s="5">
        <v>3.49</v>
      </c>
      <c r="E14" s="5">
        <v>0.83</v>
      </c>
      <c r="F14" s="5">
        <v>2.25</v>
      </c>
      <c r="G14" s="5">
        <v>7.85</v>
      </c>
      <c r="H14" s="5">
        <v>4.96</v>
      </c>
      <c r="I14" s="6">
        <v>99.2</v>
      </c>
      <c r="J14" s="6">
        <v>0</v>
      </c>
    </row>
    <row r="15" spans="1:10" x14ac:dyDescent="0.35">
      <c r="A15" s="2" t="s">
        <v>41</v>
      </c>
      <c r="B15" s="2" t="s">
        <v>42</v>
      </c>
      <c r="C15" s="13">
        <v>45077</v>
      </c>
      <c r="D15" s="5">
        <v>1.1399999999999999</v>
      </c>
      <c r="E15" s="5">
        <v>0.79</v>
      </c>
      <c r="F15" s="5">
        <v>1.85</v>
      </c>
      <c r="G15" s="5">
        <v>2.1</v>
      </c>
      <c r="H15" s="5">
        <v>1.21</v>
      </c>
      <c r="I15" s="6">
        <v>201.66666666666666</v>
      </c>
      <c r="J15" s="6">
        <v>8</v>
      </c>
    </row>
    <row r="16" spans="1:10" x14ac:dyDescent="0.35">
      <c r="A16" s="2" t="s">
        <v>43</v>
      </c>
      <c r="B16" s="2" t="s">
        <v>44</v>
      </c>
      <c r="C16" s="13">
        <v>45077</v>
      </c>
      <c r="D16" s="5">
        <v>0.65</v>
      </c>
      <c r="E16" s="5">
        <v>0.26</v>
      </c>
      <c r="F16" s="5">
        <v>1.3</v>
      </c>
      <c r="G16" s="5">
        <v>0.85</v>
      </c>
      <c r="H16" s="5">
        <v>0.68</v>
      </c>
      <c r="I16" s="6">
        <v>136</v>
      </c>
      <c r="J16" s="6">
        <v>0</v>
      </c>
    </row>
    <row r="17" spans="1:10" x14ac:dyDescent="0.35">
      <c r="A17" s="2" t="s">
        <v>50</v>
      </c>
      <c r="B17" s="2" t="s">
        <v>51</v>
      </c>
      <c r="C17" s="13">
        <v>45084</v>
      </c>
      <c r="D17" s="5">
        <v>0.22</v>
      </c>
      <c r="E17" s="5">
        <v>0.63</v>
      </c>
      <c r="F17" s="5">
        <v>1.95</v>
      </c>
      <c r="G17" s="5">
        <v>0.42</v>
      </c>
      <c r="H17" s="5">
        <v>0.28999999999999998</v>
      </c>
      <c r="I17" s="6">
        <v>27.61904761904762</v>
      </c>
      <c r="J17" s="6">
        <v>3</v>
      </c>
    </row>
    <row r="18" spans="1:10" x14ac:dyDescent="0.35">
      <c r="A18" s="2" t="s">
        <v>53</v>
      </c>
      <c r="B18" s="2" t="s">
        <v>52</v>
      </c>
      <c r="C18" s="13">
        <v>45084</v>
      </c>
      <c r="D18" s="5">
        <v>0.81</v>
      </c>
      <c r="E18" s="5">
        <v>0.68</v>
      </c>
      <c r="F18" s="5">
        <v>1.81</v>
      </c>
      <c r="G18" s="5">
        <v>1.47</v>
      </c>
      <c r="H18" s="5">
        <v>0.92</v>
      </c>
      <c r="I18" s="6">
        <v>92</v>
      </c>
      <c r="J18" s="6">
        <v>15</v>
      </c>
    </row>
    <row r="19" spans="1:10" x14ac:dyDescent="0.35">
      <c r="A19" s="2" t="s">
        <v>54</v>
      </c>
      <c r="B19" s="2" t="s">
        <v>57</v>
      </c>
      <c r="C19" s="13">
        <v>45085</v>
      </c>
      <c r="D19" s="5">
        <v>0</v>
      </c>
      <c r="E19" s="5">
        <v>0</v>
      </c>
      <c r="F19" s="5">
        <v>0</v>
      </c>
      <c r="G19" s="5">
        <v>0</v>
      </c>
      <c r="H19" s="5">
        <f>2700/1000</f>
        <v>2.7</v>
      </c>
      <c r="I19" s="6">
        <v>675</v>
      </c>
      <c r="J19" s="6">
        <v>5</v>
      </c>
    </row>
    <row r="20" spans="1:10" x14ac:dyDescent="0.35">
      <c r="A20" s="2" t="s">
        <v>55</v>
      </c>
      <c r="B20" s="2" t="s">
        <v>58</v>
      </c>
      <c r="C20" s="13">
        <v>45085</v>
      </c>
      <c r="D20" s="5">
        <v>0</v>
      </c>
      <c r="E20" s="5">
        <v>0</v>
      </c>
      <c r="F20" s="5">
        <v>0</v>
      </c>
      <c r="G20" s="5">
        <v>0</v>
      </c>
      <c r="H20" s="5">
        <f>2700/1000</f>
        <v>2.7</v>
      </c>
      <c r="I20" s="6">
        <v>300</v>
      </c>
      <c r="J20" s="6">
        <v>8</v>
      </c>
    </row>
    <row r="21" spans="1:10" x14ac:dyDescent="0.35">
      <c r="A21" s="2" t="s">
        <v>56</v>
      </c>
      <c r="B21" s="2" t="s">
        <v>59</v>
      </c>
      <c r="C21" s="13">
        <v>45085</v>
      </c>
      <c r="D21" s="5">
        <v>0.26</v>
      </c>
      <c r="E21" s="5">
        <v>0.8</v>
      </c>
      <c r="F21" s="5">
        <v>2</v>
      </c>
      <c r="G21" s="5">
        <v>0.52</v>
      </c>
      <c r="H21" s="5">
        <v>0.31</v>
      </c>
      <c r="I21" s="6">
        <v>51.666666666666664</v>
      </c>
      <c r="J21" s="6">
        <v>10</v>
      </c>
    </row>
    <row r="22" spans="1:10" x14ac:dyDescent="0.35">
      <c r="A22" s="2" t="s">
        <v>65</v>
      </c>
      <c r="B22" s="2" t="s">
        <v>67</v>
      </c>
      <c r="C22" s="13">
        <v>45098</v>
      </c>
      <c r="D22" s="5">
        <v>2.0699999999999998</v>
      </c>
      <c r="E22" s="5">
        <v>0.77</v>
      </c>
      <c r="F22" s="5">
        <v>2</v>
      </c>
      <c r="G22" s="5">
        <v>4.1399999999999997</v>
      </c>
      <c r="H22" s="5">
        <v>2.5499999999999998</v>
      </c>
      <c r="I22" s="6">
        <v>51</v>
      </c>
      <c r="J22" s="6">
        <v>5</v>
      </c>
    </row>
    <row r="23" spans="1:10" x14ac:dyDescent="0.35">
      <c r="A23" s="2" t="s">
        <v>66</v>
      </c>
      <c r="B23" s="2" t="s">
        <v>68</v>
      </c>
      <c r="C23" s="13">
        <v>45098</v>
      </c>
      <c r="D23" s="5">
        <v>2.69</v>
      </c>
      <c r="E23" s="5">
        <v>0.81</v>
      </c>
      <c r="F23" s="5">
        <v>1.6</v>
      </c>
      <c r="G23" s="5">
        <v>4.3099999999999996</v>
      </c>
      <c r="H23" s="5">
        <v>2.14</v>
      </c>
      <c r="I23" s="6">
        <v>2853.3333333333335</v>
      </c>
      <c r="J23" s="6">
        <v>0</v>
      </c>
    </row>
    <row r="24" spans="1:10" x14ac:dyDescent="0.35">
      <c r="A24" s="2" t="s">
        <v>250</v>
      </c>
      <c r="B24" s="2" t="s">
        <v>269</v>
      </c>
      <c r="C24" s="13">
        <v>45306</v>
      </c>
      <c r="D24" s="5">
        <v>2.68</v>
      </c>
      <c r="E24" s="5">
        <v>0.92</v>
      </c>
      <c r="F24" s="5">
        <v>3</v>
      </c>
      <c r="G24" s="5">
        <v>8.0299999999999994</v>
      </c>
      <c r="H24" s="5">
        <v>5.57</v>
      </c>
      <c r="I24" s="6">
        <v>121.08695652173913</v>
      </c>
      <c r="J24" s="6">
        <v>13</v>
      </c>
    </row>
    <row r="25" spans="1:10" x14ac:dyDescent="0.35">
      <c r="A25" s="2" t="s">
        <v>251</v>
      </c>
      <c r="B25" s="2" t="s">
        <v>270</v>
      </c>
      <c r="C25" s="13">
        <v>45307</v>
      </c>
      <c r="D25" s="5">
        <v>5.08</v>
      </c>
      <c r="E25" s="5">
        <v>1.85</v>
      </c>
      <c r="F25" s="5">
        <v>3.5</v>
      </c>
      <c r="G25" s="5">
        <v>17.78</v>
      </c>
      <c r="H25" s="5">
        <v>8.4</v>
      </c>
      <c r="I25" s="6">
        <v>700</v>
      </c>
      <c r="J25" s="6">
        <v>0</v>
      </c>
    </row>
    <row r="26" spans="1:10" x14ac:dyDescent="0.35">
      <c r="A26" s="2" t="s">
        <v>252</v>
      </c>
      <c r="B26" s="2" t="s">
        <v>271</v>
      </c>
      <c r="C26" s="13">
        <v>45307</v>
      </c>
      <c r="D26" s="5">
        <v>3.99</v>
      </c>
      <c r="E26" s="5">
        <v>0.95</v>
      </c>
      <c r="F26" s="5">
        <v>3</v>
      </c>
      <c r="G26" s="5">
        <v>11.96</v>
      </c>
      <c r="H26" s="5">
        <v>8.18</v>
      </c>
      <c r="I26" s="6">
        <v>545.33333333333337</v>
      </c>
      <c r="J26" s="6">
        <v>1</v>
      </c>
    </row>
    <row r="27" spans="1:10" x14ac:dyDescent="0.35">
      <c r="A27" s="2" t="s">
        <v>253</v>
      </c>
      <c r="B27" s="2" t="s">
        <v>272</v>
      </c>
      <c r="C27" s="13">
        <v>45307</v>
      </c>
      <c r="D27" s="5">
        <v>3.27</v>
      </c>
      <c r="E27" s="5">
        <v>1.39</v>
      </c>
      <c r="F27" s="5">
        <v>3.5</v>
      </c>
      <c r="G27" s="5">
        <v>11.45</v>
      </c>
      <c r="H27" s="5">
        <v>6.91</v>
      </c>
      <c r="I27" s="6">
        <v>575.83333333333337</v>
      </c>
      <c r="J27" s="6">
        <v>1</v>
      </c>
    </row>
    <row r="28" spans="1:10" x14ac:dyDescent="0.35">
      <c r="A28" s="2" t="s">
        <v>254</v>
      </c>
      <c r="B28" s="2" t="s">
        <v>273</v>
      </c>
      <c r="C28" s="13">
        <v>45307</v>
      </c>
      <c r="D28" s="5">
        <v>3.41</v>
      </c>
      <c r="E28" s="5">
        <v>1.35</v>
      </c>
      <c r="F28" s="5">
        <v>3.5</v>
      </c>
      <c r="G28" s="5">
        <v>11.94</v>
      </c>
      <c r="H28" s="5">
        <v>7.35</v>
      </c>
      <c r="I28" s="6">
        <v>163.33333333333334</v>
      </c>
      <c r="J28" s="6">
        <v>3</v>
      </c>
    </row>
    <row r="29" spans="1:10" x14ac:dyDescent="0.35">
      <c r="A29" s="2" t="s">
        <v>255</v>
      </c>
      <c r="B29" s="2" t="s">
        <v>274</v>
      </c>
      <c r="C29" s="13">
        <v>45313</v>
      </c>
      <c r="D29" s="5">
        <v>0.96</v>
      </c>
      <c r="E29" s="5">
        <v>0.79</v>
      </c>
      <c r="F29" s="5">
        <v>3</v>
      </c>
      <c r="G29" s="5">
        <v>2.88</v>
      </c>
      <c r="H29" s="5">
        <v>2.12</v>
      </c>
      <c r="I29" s="6">
        <v>235.55555555555554</v>
      </c>
      <c r="J29" s="6">
        <v>5</v>
      </c>
    </row>
    <row r="30" spans="1:10" x14ac:dyDescent="0.35">
      <c r="A30" s="2" t="s">
        <v>256</v>
      </c>
      <c r="B30" s="2" t="s">
        <v>275</v>
      </c>
      <c r="C30" s="13">
        <v>45314</v>
      </c>
      <c r="D30" s="5">
        <v>1.65</v>
      </c>
      <c r="E30" s="5">
        <v>1.29</v>
      </c>
      <c r="F30" s="5">
        <v>3.1</v>
      </c>
      <c r="G30" s="5">
        <v>5.13</v>
      </c>
      <c r="H30" s="5">
        <v>3</v>
      </c>
      <c r="I30" s="6">
        <v>20</v>
      </c>
      <c r="J30" s="6">
        <v>1</v>
      </c>
    </row>
    <row r="31" spans="1:10" x14ac:dyDescent="0.35">
      <c r="A31" s="2" t="s">
        <v>257</v>
      </c>
      <c r="B31" s="2" t="s">
        <v>276</v>
      </c>
      <c r="C31" s="13">
        <v>45320</v>
      </c>
      <c r="D31" s="5">
        <v>1.83</v>
      </c>
      <c r="E31" s="5">
        <v>0.53</v>
      </c>
      <c r="F31" s="5">
        <v>1.55</v>
      </c>
      <c r="G31" s="5">
        <v>2.84</v>
      </c>
      <c r="H31" s="5">
        <v>1.88</v>
      </c>
      <c r="I31" s="6">
        <v>13.428571428571429</v>
      </c>
      <c r="J31" s="6">
        <v>1</v>
      </c>
    </row>
    <row r="32" spans="1:10" x14ac:dyDescent="0.35">
      <c r="A32" s="2" t="s">
        <v>258</v>
      </c>
      <c r="B32" s="2" t="s">
        <v>277</v>
      </c>
      <c r="C32" s="13">
        <v>45320</v>
      </c>
      <c r="D32" s="5">
        <v>4.54</v>
      </c>
      <c r="E32" s="5">
        <v>1.87</v>
      </c>
      <c r="F32" s="5">
        <v>3</v>
      </c>
      <c r="G32" s="5">
        <v>13.62</v>
      </c>
      <c r="H32" s="5">
        <v>5.14</v>
      </c>
      <c r="I32" s="6">
        <v>24.476190476190474</v>
      </c>
      <c r="J32" s="6">
        <v>1</v>
      </c>
    </row>
    <row r="33" spans="1:10" x14ac:dyDescent="0.35">
      <c r="A33" s="2" t="s">
        <v>259</v>
      </c>
      <c r="B33" s="2" t="s">
        <v>278</v>
      </c>
      <c r="C33" s="13">
        <v>45321</v>
      </c>
      <c r="D33" s="5">
        <v>11.15</v>
      </c>
      <c r="E33" s="5">
        <v>0.76</v>
      </c>
      <c r="F33" s="5">
        <v>3</v>
      </c>
      <c r="G33" s="5">
        <v>33.44</v>
      </c>
      <c r="H33" s="5">
        <v>25</v>
      </c>
      <c r="I33" s="6">
        <v>416.66666666666669</v>
      </c>
      <c r="J33" s="6">
        <v>1</v>
      </c>
    </row>
    <row r="34" spans="1:10" x14ac:dyDescent="0.35">
      <c r="A34" s="2" t="s">
        <v>260</v>
      </c>
      <c r="B34" s="2" t="s">
        <v>279</v>
      </c>
      <c r="C34" s="13">
        <v>45321</v>
      </c>
      <c r="D34" s="5">
        <v>3.28</v>
      </c>
      <c r="E34" s="5">
        <v>0.55000000000000004</v>
      </c>
      <c r="F34" s="5">
        <v>2.65</v>
      </c>
      <c r="G34" s="5">
        <v>8.69</v>
      </c>
      <c r="H34" s="5">
        <v>6.9</v>
      </c>
      <c r="I34" s="6">
        <v>115</v>
      </c>
      <c r="J34" s="6">
        <v>5</v>
      </c>
    </row>
    <row r="35" spans="1:10" x14ac:dyDescent="0.35">
      <c r="A35" s="2" t="s">
        <v>261</v>
      </c>
      <c r="B35" s="2" t="s">
        <v>280</v>
      </c>
      <c r="C35" s="13">
        <v>45321</v>
      </c>
      <c r="D35" s="5">
        <v>11.57</v>
      </c>
      <c r="E35" s="5">
        <v>0.52</v>
      </c>
      <c r="F35" s="5">
        <v>4</v>
      </c>
      <c r="G35" s="5">
        <v>46.3</v>
      </c>
      <c r="H35" s="5">
        <v>40.31</v>
      </c>
      <c r="I35" s="6">
        <v>1832.2727272727273</v>
      </c>
      <c r="J35" s="6">
        <v>6</v>
      </c>
    </row>
    <row r="36" spans="1:10" x14ac:dyDescent="0.35">
      <c r="A36" s="2" t="s">
        <v>262</v>
      </c>
      <c r="B36" s="2" t="s">
        <v>281</v>
      </c>
      <c r="C36" s="13">
        <v>45327</v>
      </c>
      <c r="D36" s="5">
        <v>3.29</v>
      </c>
      <c r="E36" s="5">
        <v>0.52</v>
      </c>
      <c r="F36" s="5">
        <v>2.5499999999999998</v>
      </c>
      <c r="G36" s="5">
        <v>8.39</v>
      </c>
      <c r="H36" s="5">
        <v>6.69</v>
      </c>
      <c r="I36" s="6">
        <v>63.714285714285715</v>
      </c>
      <c r="J36" s="6">
        <v>8</v>
      </c>
    </row>
    <row r="37" spans="1:10" x14ac:dyDescent="0.35">
      <c r="A37" s="2" t="s">
        <v>263</v>
      </c>
      <c r="B37" s="2" t="s">
        <v>282</v>
      </c>
      <c r="C37" s="13">
        <v>45328</v>
      </c>
      <c r="D37" s="5">
        <v>1.63</v>
      </c>
      <c r="E37" s="5">
        <v>0.85</v>
      </c>
      <c r="F37" s="5">
        <v>2.6</v>
      </c>
      <c r="G37" s="5">
        <v>4.2300000000000004</v>
      </c>
      <c r="H37" s="5">
        <v>2.85</v>
      </c>
      <c r="I37" s="6">
        <v>22.093023255813954</v>
      </c>
      <c r="J37" s="6">
        <v>3</v>
      </c>
    </row>
    <row r="38" spans="1:10" x14ac:dyDescent="0.35">
      <c r="A38" s="2" t="s">
        <v>264</v>
      </c>
      <c r="B38" s="2" t="s">
        <v>283</v>
      </c>
      <c r="C38" s="13">
        <v>45328</v>
      </c>
      <c r="D38" s="5">
        <v>0.95</v>
      </c>
      <c r="E38" s="5">
        <v>0.27</v>
      </c>
      <c r="F38" s="5">
        <v>1.95</v>
      </c>
      <c r="G38" s="5">
        <v>1.86</v>
      </c>
      <c r="H38" s="5">
        <v>1.6</v>
      </c>
      <c r="I38" s="6">
        <v>27.586206896551722</v>
      </c>
      <c r="J38" s="6">
        <v>8</v>
      </c>
    </row>
    <row r="39" spans="1:10" x14ac:dyDescent="0.35">
      <c r="A39" s="2" t="s">
        <v>265</v>
      </c>
      <c r="B39" s="2" t="s">
        <v>284</v>
      </c>
      <c r="C39" s="13">
        <v>45334</v>
      </c>
      <c r="D39" s="5">
        <v>1.45</v>
      </c>
      <c r="E39" s="5">
        <v>0.95</v>
      </c>
      <c r="F39" s="5">
        <v>3</v>
      </c>
      <c r="G39" s="5">
        <v>4.34</v>
      </c>
      <c r="H39" s="5">
        <v>2.97</v>
      </c>
      <c r="I39" s="6">
        <v>445.50000000000006</v>
      </c>
      <c r="J39" s="6">
        <v>0</v>
      </c>
    </row>
    <row r="40" spans="1:10" x14ac:dyDescent="0.35">
      <c r="A40" s="2" t="s">
        <v>266</v>
      </c>
      <c r="B40" s="2" t="s">
        <v>285</v>
      </c>
      <c r="C40" s="13">
        <v>45334</v>
      </c>
      <c r="D40" s="5">
        <v>3.59</v>
      </c>
      <c r="E40" s="5">
        <v>0.25</v>
      </c>
      <c r="F40" s="5">
        <v>2.4</v>
      </c>
      <c r="G40" s="5">
        <v>8.6199999999999992</v>
      </c>
      <c r="H40" s="5">
        <v>6.91</v>
      </c>
      <c r="I40" s="6">
        <v>431.875</v>
      </c>
      <c r="J40" s="6">
        <v>5</v>
      </c>
    </row>
    <row r="41" spans="1:10" x14ac:dyDescent="0.35">
      <c r="A41" s="2" t="s">
        <v>267</v>
      </c>
      <c r="B41" s="2" t="s">
        <v>286</v>
      </c>
      <c r="C41" s="13">
        <v>45335</v>
      </c>
      <c r="D41" s="5">
        <v>0.73</v>
      </c>
      <c r="E41" s="5">
        <v>0.38</v>
      </c>
      <c r="F41" s="5">
        <v>2.2000000000000002</v>
      </c>
      <c r="G41" s="5">
        <v>1.62</v>
      </c>
      <c r="H41" s="5">
        <v>1.34</v>
      </c>
      <c r="I41" s="6">
        <v>51.53846153846154</v>
      </c>
      <c r="J41" s="6">
        <v>8</v>
      </c>
    </row>
    <row r="42" spans="1:10" x14ac:dyDescent="0.35">
      <c r="A42" s="2" t="s">
        <v>268</v>
      </c>
      <c r="B42" s="2" t="s">
        <v>287</v>
      </c>
      <c r="C42" s="13">
        <v>45335</v>
      </c>
      <c r="D42" s="5">
        <v>1.74</v>
      </c>
      <c r="E42" s="5">
        <v>0.5</v>
      </c>
      <c r="F42" s="5">
        <v>4.5</v>
      </c>
      <c r="G42" s="5">
        <v>7.81</v>
      </c>
      <c r="H42" s="5">
        <v>7.23</v>
      </c>
      <c r="I42" s="6">
        <v>2065.7142857142858</v>
      </c>
      <c r="J42" s="6">
        <v>3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1"/>
  <sheetViews>
    <sheetView workbookViewId="0">
      <pane xSplit="3" ySplit="1" topLeftCell="D2" activePane="bottomRight" state="frozen"/>
      <selection pane="topRight" activeCell="C1" sqref="C1"/>
      <selection pane="bottomLeft" activeCell="A3" sqref="A3"/>
      <selection pane="bottomRight" activeCell="I9" sqref="I9"/>
    </sheetView>
  </sheetViews>
  <sheetFormatPr defaultRowHeight="14.5" x14ac:dyDescent="0.35"/>
  <cols>
    <col min="1" max="1" width="18.6328125" bestFit="1" customWidth="1"/>
    <col min="2" max="2" width="10.1796875" bestFit="1" customWidth="1"/>
    <col min="3" max="3" width="15.7265625" bestFit="1" customWidth="1"/>
    <col min="4" max="4" width="6.36328125" bestFit="1" customWidth="1"/>
    <col min="5" max="6" width="7.81640625" bestFit="1" customWidth="1"/>
    <col min="7" max="7" width="8" bestFit="1" customWidth="1"/>
  </cols>
  <sheetData>
    <row r="1" spans="1:7" x14ac:dyDescent="0.35">
      <c r="A1" s="8" t="s">
        <v>178</v>
      </c>
      <c r="B1" s="8" t="s">
        <v>179</v>
      </c>
      <c r="C1" s="8" t="s">
        <v>180</v>
      </c>
      <c r="D1" s="4" t="s">
        <v>174</v>
      </c>
      <c r="E1" s="4" t="s">
        <v>175</v>
      </c>
      <c r="F1" s="4" t="s">
        <v>176</v>
      </c>
      <c r="G1" s="4" t="s">
        <v>177</v>
      </c>
    </row>
    <row r="2" spans="1:7" x14ac:dyDescent="0.35">
      <c r="A2" s="7" t="s">
        <v>7</v>
      </c>
      <c r="B2" s="7" t="s">
        <v>4</v>
      </c>
      <c r="C2" s="13">
        <v>45022</v>
      </c>
      <c r="D2" s="6">
        <v>2</v>
      </c>
      <c r="E2" s="5">
        <v>2.636158905904523</v>
      </c>
      <c r="F2" s="10">
        <v>0</v>
      </c>
      <c r="G2" s="2">
        <v>0</v>
      </c>
    </row>
    <row r="3" spans="1:7" x14ac:dyDescent="0.35">
      <c r="A3" s="2" t="s">
        <v>8</v>
      </c>
      <c r="B3" s="7" t="s">
        <v>5</v>
      </c>
      <c r="C3" s="13">
        <v>45022</v>
      </c>
      <c r="D3" s="6">
        <v>3</v>
      </c>
      <c r="E3" s="5">
        <v>0.60373304087214053</v>
      </c>
      <c r="F3" s="10">
        <v>0</v>
      </c>
      <c r="G3" s="2">
        <v>0</v>
      </c>
    </row>
    <row r="4" spans="1:7" x14ac:dyDescent="0.35">
      <c r="A4" s="7" t="s">
        <v>6</v>
      </c>
      <c r="B4" s="7" t="s">
        <v>3</v>
      </c>
      <c r="C4" s="13">
        <v>45028</v>
      </c>
      <c r="D4" s="6">
        <v>2</v>
      </c>
      <c r="E4" s="5">
        <v>1.6219944898894096</v>
      </c>
      <c r="F4" s="10">
        <v>0</v>
      </c>
      <c r="G4" s="2">
        <v>0</v>
      </c>
    </row>
    <row r="5" spans="1:7" x14ac:dyDescent="0.35">
      <c r="A5" s="2" t="s">
        <v>1</v>
      </c>
      <c r="B5" s="7" t="s">
        <v>2</v>
      </c>
      <c r="C5" s="13">
        <v>45028</v>
      </c>
      <c r="D5" s="6">
        <v>3</v>
      </c>
      <c r="E5" s="5">
        <v>1.3010745781164941</v>
      </c>
      <c r="F5" s="10">
        <v>0</v>
      </c>
      <c r="G5" s="2">
        <v>0</v>
      </c>
    </row>
    <row r="6" spans="1:7" x14ac:dyDescent="0.35">
      <c r="A6" s="2" t="s">
        <v>17</v>
      </c>
      <c r="B6" s="7" t="s">
        <v>18</v>
      </c>
      <c r="C6" s="13">
        <v>45035</v>
      </c>
      <c r="D6" s="6">
        <v>2</v>
      </c>
      <c r="E6" s="5">
        <v>6.2442928261726101</v>
      </c>
      <c r="F6" s="10">
        <v>49.42965571262723</v>
      </c>
      <c r="G6" s="2">
        <v>0</v>
      </c>
    </row>
    <row r="7" spans="1:7" x14ac:dyDescent="0.35">
      <c r="A7" s="2" t="s">
        <v>19</v>
      </c>
      <c r="B7" s="7" t="s">
        <v>20</v>
      </c>
      <c r="C7" s="13">
        <v>45035</v>
      </c>
      <c r="D7" s="6">
        <f>410</f>
        <v>410</v>
      </c>
      <c r="E7" s="5">
        <v>6.9874856720334708E-2</v>
      </c>
      <c r="F7" s="10">
        <v>0</v>
      </c>
      <c r="G7" s="2">
        <v>0</v>
      </c>
    </row>
    <row r="8" spans="1:7" x14ac:dyDescent="0.35">
      <c r="A8" s="2" t="s">
        <v>21</v>
      </c>
      <c r="B8" s="2" t="s">
        <v>23</v>
      </c>
      <c r="C8" s="13">
        <v>45042</v>
      </c>
      <c r="D8" s="6">
        <v>2</v>
      </c>
      <c r="E8" s="5">
        <v>1.7547574474127787</v>
      </c>
      <c r="F8" s="10">
        <v>0</v>
      </c>
      <c r="G8" s="2">
        <v>0</v>
      </c>
    </row>
    <row r="9" spans="1:7" x14ac:dyDescent="0.35">
      <c r="A9" s="2" t="s">
        <v>22</v>
      </c>
      <c r="B9" s="2" t="s">
        <v>24</v>
      </c>
      <c r="C9" s="13">
        <v>45042</v>
      </c>
      <c r="D9" s="6">
        <v>2</v>
      </c>
      <c r="E9" s="5">
        <v>6.9684218922271048</v>
      </c>
      <c r="F9" s="10">
        <v>0</v>
      </c>
      <c r="G9" s="2">
        <v>0</v>
      </c>
    </row>
    <row r="10" spans="1:7" x14ac:dyDescent="0.35">
      <c r="A10" s="2" t="s">
        <v>28</v>
      </c>
      <c r="B10" s="7" t="s">
        <v>30</v>
      </c>
      <c r="C10" s="13">
        <v>45055</v>
      </c>
      <c r="D10" s="6">
        <v>304</v>
      </c>
      <c r="E10" s="5">
        <v>0</v>
      </c>
      <c r="F10" s="10">
        <v>0</v>
      </c>
      <c r="G10" s="2">
        <v>0</v>
      </c>
    </row>
    <row r="11" spans="1:7" x14ac:dyDescent="0.35">
      <c r="A11" s="2" t="s">
        <v>29</v>
      </c>
      <c r="B11" s="7" t="s">
        <v>31</v>
      </c>
      <c r="C11" s="13">
        <v>45055</v>
      </c>
      <c r="D11" s="6">
        <v>368</v>
      </c>
      <c r="E11" s="5">
        <v>6.3242229995352298E-2</v>
      </c>
      <c r="F11" s="10">
        <v>0</v>
      </c>
      <c r="G11" s="2">
        <v>0</v>
      </c>
    </row>
    <row r="12" spans="1:7" x14ac:dyDescent="0.35">
      <c r="A12" s="2" t="s">
        <v>37</v>
      </c>
      <c r="B12" s="2" t="s">
        <v>35</v>
      </c>
      <c r="C12" s="13">
        <v>45071</v>
      </c>
      <c r="D12" s="6">
        <v>4</v>
      </c>
      <c r="E12" s="5">
        <v>3.7113810141010423E-2</v>
      </c>
      <c r="F12" s="10">
        <v>0</v>
      </c>
      <c r="G12" s="2">
        <v>0</v>
      </c>
    </row>
    <row r="13" spans="1:7" x14ac:dyDescent="0.35">
      <c r="A13" s="2" t="s">
        <v>38</v>
      </c>
      <c r="B13" s="2" t="s">
        <v>36</v>
      </c>
      <c r="C13" s="13">
        <v>45071</v>
      </c>
      <c r="D13" s="6">
        <v>2</v>
      </c>
      <c r="E13" s="5">
        <v>3.0477408485254385</v>
      </c>
      <c r="F13" s="10">
        <v>2.203290852651111</v>
      </c>
      <c r="G13" s="2">
        <v>0</v>
      </c>
    </row>
    <row r="14" spans="1:7" x14ac:dyDescent="0.35">
      <c r="A14" s="2" t="s">
        <v>39</v>
      </c>
      <c r="B14" s="2" t="s">
        <v>40</v>
      </c>
      <c r="C14" s="13">
        <v>45077</v>
      </c>
      <c r="D14" s="6">
        <v>10</v>
      </c>
      <c r="E14" s="5">
        <v>3.8736863075649837E-2</v>
      </c>
      <c r="F14" s="10">
        <v>0</v>
      </c>
      <c r="G14" s="2">
        <v>0</v>
      </c>
    </row>
    <row r="15" spans="1:7" x14ac:dyDescent="0.35">
      <c r="A15" s="2" t="s">
        <v>41</v>
      </c>
      <c r="B15" s="2" t="s">
        <v>42</v>
      </c>
      <c r="C15" s="13">
        <v>45077</v>
      </c>
      <c r="D15" s="6">
        <v>2</v>
      </c>
      <c r="E15" s="5">
        <v>14.241294116190522</v>
      </c>
      <c r="F15" s="10">
        <v>0</v>
      </c>
      <c r="G15" s="2">
        <v>0</v>
      </c>
    </row>
    <row r="16" spans="1:7" x14ac:dyDescent="0.35">
      <c r="A16" s="2" t="s">
        <v>43</v>
      </c>
      <c r="B16" s="2" t="s">
        <v>44</v>
      </c>
      <c r="C16" s="13">
        <v>45077</v>
      </c>
      <c r="D16" s="6">
        <v>10</v>
      </c>
      <c r="E16" s="5">
        <v>0</v>
      </c>
      <c r="F16" s="10">
        <v>0</v>
      </c>
      <c r="G16" s="2">
        <v>0</v>
      </c>
    </row>
    <row r="17" spans="1:7" x14ac:dyDescent="0.35">
      <c r="A17" s="2" t="s">
        <v>50</v>
      </c>
      <c r="B17" s="2" t="s">
        <v>51</v>
      </c>
      <c r="C17" s="13">
        <v>45084</v>
      </c>
      <c r="D17" s="6">
        <v>3</v>
      </c>
      <c r="E17" s="5">
        <v>3.6979108812784931</v>
      </c>
      <c r="F17" s="10">
        <v>15.913642332138245</v>
      </c>
      <c r="G17" s="2">
        <v>0</v>
      </c>
    </row>
    <row r="18" spans="1:7" x14ac:dyDescent="0.35">
      <c r="A18" s="2" t="s">
        <v>53</v>
      </c>
      <c r="B18" s="2" t="s">
        <v>52</v>
      </c>
      <c r="C18" s="13">
        <v>45084</v>
      </c>
      <c r="D18" s="6">
        <v>2</v>
      </c>
      <c r="E18" s="5">
        <v>4.5469290015537265</v>
      </c>
      <c r="F18" s="10">
        <v>0</v>
      </c>
      <c r="G18" s="2">
        <v>0</v>
      </c>
    </row>
    <row r="19" spans="1:7" x14ac:dyDescent="0.35">
      <c r="A19" s="2" t="s">
        <v>54</v>
      </c>
      <c r="B19" s="2" t="s">
        <v>57</v>
      </c>
      <c r="C19" s="13">
        <v>45085</v>
      </c>
      <c r="D19" s="6">
        <v>2</v>
      </c>
      <c r="E19" s="5">
        <v>10.370416059605184</v>
      </c>
      <c r="F19" s="10">
        <v>0</v>
      </c>
      <c r="G19" s="2">
        <v>0</v>
      </c>
    </row>
    <row r="20" spans="1:7" x14ac:dyDescent="0.35">
      <c r="A20" s="2" t="s">
        <v>55</v>
      </c>
      <c r="B20" s="2" t="s">
        <v>58</v>
      </c>
      <c r="C20" s="13">
        <v>45085</v>
      </c>
      <c r="D20" s="6">
        <v>3</v>
      </c>
      <c r="E20" s="5">
        <v>0.97299809427969042</v>
      </c>
      <c r="F20" s="10">
        <v>6.8247044192230932</v>
      </c>
      <c r="G20" s="2">
        <v>0</v>
      </c>
    </row>
    <row r="21" spans="1:7" x14ac:dyDescent="0.35">
      <c r="A21" s="2" t="s">
        <v>56</v>
      </c>
      <c r="B21" s="2" t="s">
        <v>59</v>
      </c>
      <c r="C21" s="13">
        <v>45085</v>
      </c>
      <c r="D21" s="6">
        <v>2</v>
      </c>
      <c r="E21" s="5">
        <v>1.9281240383078269</v>
      </c>
      <c r="F21" s="10">
        <v>0</v>
      </c>
      <c r="G21" s="2">
        <v>0</v>
      </c>
    </row>
    <row r="22" spans="1:7" x14ac:dyDescent="0.35">
      <c r="A22" s="2" t="s">
        <v>65</v>
      </c>
      <c r="B22" s="2" t="s">
        <v>67</v>
      </c>
      <c r="C22" s="13">
        <v>45098</v>
      </c>
      <c r="D22" s="6">
        <v>200</v>
      </c>
      <c r="E22" s="5">
        <v>0.16598108903827372</v>
      </c>
      <c r="F22" s="10">
        <v>0</v>
      </c>
      <c r="G22" s="2">
        <v>0</v>
      </c>
    </row>
    <row r="23" spans="1:7" x14ac:dyDescent="0.35">
      <c r="A23" s="2" t="s">
        <v>66</v>
      </c>
      <c r="B23" s="2" t="s">
        <v>68</v>
      </c>
      <c r="C23" s="13">
        <v>45098</v>
      </c>
      <c r="D23" s="6">
        <v>3</v>
      </c>
      <c r="E23" s="5">
        <v>0</v>
      </c>
      <c r="F23" s="10">
        <v>0</v>
      </c>
      <c r="G23" s="2">
        <v>0</v>
      </c>
    </row>
    <row r="24" spans="1:7" x14ac:dyDescent="0.35">
      <c r="A24" s="2" t="s">
        <v>250</v>
      </c>
      <c r="B24" s="2" t="s">
        <v>269</v>
      </c>
      <c r="C24" s="13">
        <v>45306</v>
      </c>
      <c r="D24" s="14">
        <v>23</v>
      </c>
      <c r="E24" s="5">
        <v>4.46</v>
      </c>
      <c r="F24" s="10">
        <v>0</v>
      </c>
      <c r="G24" s="2">
        <v>0</v>
      </c>
    </row>
    <row r="25" spans="1:7" x14ac:dyDescent="0.35">
      <c r="A25" s="2" t="s">
        <v>251</v>
      </c>
      <c r="B25" s="2" t="s">
        <v>270</v>
      </c>
      <c r="C25" s="13">
        <v>45307</v>
      </c>
      <c r="D25" s="14">
        <v>4</v>
      </c>
      <c r="E25" s="5">
        <v>2.15</v>
      </c>
      <c r="F25" s="10">
        <v>0</v>
      </c>
      <c r="G25" s="2">
        <v>0</v>
      </c>
    </row>
    <row r="26" spans="1:7" x14ac:dyDescent="0.35">
      <c r="A26" s="2" t="s">
        <v>252</v>
      </c>
      <c r="B26" s="2" t="s">
        <v>271</v>
      </c>
      <c r="C26" s="13">
        <v>45307</v>
      </c>
      <c r="D26" s="14">
        <v>5</v>
      </c>
      <c r="E26" s="5">
        <v>4.28</v>
      </c>
      <c r="F26" s="10">
        <v>0</v>
      </c>
      <c r="G26" s="2">
        <v>0</v>
      </c>
    </row>
    <row r="27" spans="1:7" x14ac:dyDescent="0.35">
      <c r="A27" s="2" t="s">
        <v>253</v>
      </c>
      <c r="B27" s="2" t="s">
        <v>272</v>
      </c>
      <c r="C27" s="13">
        <v>45307</v>
      </c>
      <c r="D27" s="14">
        <v>4</v>
      </c>
      <c r="E27" s="5">
        <v>10.96</v>
      </c>
      <c r="F27" s="10">
        <v>0</v>
      </c>
      <c r="G27" s="2">
        <v>0</v>
      </c>
    </row>
    <row r="28" spans="1:7" x14ac:dyDescent="0.35">
      <c r="A28" s="2" t="s">
        <v>254</v>
      </c>
      <c r="B28" s="2" t="s">
        <v>273</v>
      </c>
      <c r="C28" s="13">
        <v>45307</v>
      </c>
      <c r="D28" s="14">
        <v>15</v>
      </c>
      <c r="E28" s="5">
        <v>4.6900000000000004</v>
      </c>
      <c r="F28" s="10">
        <v>0</v>
      </c>
      <c r="G28" s="2">
        <v>0</v>
      </c>
    </row>
    <row r="29" spans="1:7" x14ac:dyDescent="0.35">
      <c r="A29" s="2" t="s">
        <v>255</v>
      </c>
      <c r="B29" s="2" t="s">
        <v>274</v>
      </c>
      <c r="C29" s="13">
        <v>45313</v>
      </c>
      <c r="D29" s="14">
        <v>9</v>
      </c>
      <c r="E29" s="5">
        <v>2.1</v>
      </c>
      <c r="F29" s="10">
        <v>0</v>
      </c>
      <c r="G29" s="2">
        <v>0</v>
      </c>
    </row>
    <row r="30" spans="1:7" x14ac:dyDescent="0.35">
      <c r="A30" s="2" t="s">
        <v>256</v>
      </c>
      <c r="B30" s="2" t="s">
        <v>275</v>
      </c>
      <c r="C30" s="13">
        <v>45314</v>
      </c>
      <c r="D30" s="14">
        <v>15</v>
      </c>
      <c r="E30" s="5">
        <v>1.87</v>
      </c>
      <c r="F30" s="10">
        <v>0</v>
      </c>
      <c r="G30" s="2">
        <v>0</v>
      </c>
    </row>
    <row r="31" spans="1:7" x14ac:dyDescent="0.35">
      <c r="A31" s="2" t="s">
        <v>257</v>
      </c>
      <c r="B31" s="2" t="s">
        <v>276</v>
      </c>
      <c r="C31" s="13">
        <v>45320</v>
      </c>
      <c r="D31" s="14">
        <v>14</v>
      </c>
      <c r="E31" s="5">
        <v>0.46</v>
      </c>
      <c r="F31" s="10">
        <v>0</v>
      </c>
      <c r="G31" s="2">
        <v>0</v>
      </c>
    </row>
    <row r="32" spans="1:7" x14ac:dyDescent="0.35">
      <c r="A32" s="2" t="s">
        <v>258</v>
      </c>
      <c r="B32" s="2" t="s">
        <v>277</v>
      </c>
      <c r="C32" s="13">
        <v>45320</v>
      </c>
      <c r="D32" s="14">
        <v>35</v>
      </c>
      <c r="E32" s="5">
        <v>0.2</v>
      </c>
      <c r="F32" s="10">
        <v>0</v>
      </c>
      <c r="G32" s="2">
        <v>0</v>
      </c>
    </row>
    <row r="33" spans="1:7" x14ac:dyDescent="0.35">
      <c r="A33" s="2" t="s">
        <v>259</v>
      </c>
      <c r="B33" s="2" t="s">
        <v>278</v>
      </c>
      <c r="C33" s="13">
        <v>45321</v>
      </c>
      <c r="D33" s="14">
        <v>30</v>
      </c>
      <c r="E33" s="5">
        <v>3.4</v>
      </c>
      <c r="F33" s="10">
        <v>32.200000000000003</v>
      </c>
      <c r="G33" s="2">
        <v>0</v>
      </c>
    </row>
    <row r="34" spans="1:7" x14ac:dyDescent="0.35">
      <c r="A34" s="2" t="s">
        <v>260</v>
      </c>
      <c r="B34" s="2" t="s">
        <v>279</v>
      </c>
      <c r="C34" s="13">
        <v>45321</v>
      </c>
      <c r="D34" s="14">
        <v>30</v>
      </c>
      <c r="E34" s="5">
        <v>1.19</v>
      </c>
      <c r="F34" s="10">
        <v>1.1000000000000001</v>
      </c>
      <c r="G34" s="2">
        <v>0</v>
      </c>
    </row>
    <row r="35" spans="1:7" x14ac:dyDescent="0.35">
      <c r="A35" s="2" t="s">
        <v>261</v>
      </c>
      <c r="B35" s="2" t="s">
        <v>280</v>
      </c>
      <c r="C35" s="13">
        <v>45321</v>
      </c>
      <c r="D35" s="14">
        <v>88</v>
      </c>
      <c r="E35" s="5">
        <v>7.98</v>
      </c>
      <c r="F35" s="10">
        <v>0.9</v>
      </c>
      <c r="G35" s="2">
        <v>0</v>
      </c>
    </row>
    <row r="36" spans="1:7" x14ac:dyDescent="0.35">
      <c r="A36" s="2" t="s">
        <v>262</v>
      </c>
      <c r="B36" s="2" t="s">
        <v>281</v>
      </c>
      <c r="C36" s="13">
        <v>45327</v>
      </c>
      <c r="D36" s="14">
        <v>35</v>
      </c>
      <c r="E36" s="5">
        <v>1.44</v>
      </c>
      <c r="F36" s="10">
        <v>0</v>
      </c>
      <c r="G36" s="2">
        <v>0</v>
      </c>
    </row>
    <row r="37" spans="1:7" x14ac:dyDescent="0.35">
      <c r="A37" s="2" t="s">
        <v>263</v>
      </c>
      <c r="B37" s="2" t="s">
        <v>282</v>
      </c>
      <c r="C37" s="13">
        <v>45328</v>
      </c>
      <c r="D37" s="14">
        <v>43</v>
      </c>
      <c r="E37" s="5">
        <v>0.9</v>
      </c>
      <c r="F37" s="10">
        <v>0</v>
      </c>
      <c r="G37" s="2">
        <v>0</v>
      </c>
    </row>
    <row r="38" spans="1:7" x14ac:dyDescent="0.35">
      <c r="A38" s="2" t="s">
        <v>264</v>
      </c>
      <c r="B38" s="2" t="s">
        <v>283</v>
      </c>
      <c r="C38" s="13">
        <v>45328</v>
      </c>
      <c r="D38" s="14">
        <v>29</v>
      </c>
      <c r="E38" s="5">
        <v>1.45</v>
      </c>
      <c r="F38" s="10">
        <v>1</v>
      </c>
      <c r="G38" s="2">
        <v>0</v>
      </c>
    </row>
    <row r="39" spans="1:7" x14ac:dyDescent="0.35">
      <c r="A39" s="2" t="s">
        <v>265</v>
      </c>
      <c r="B39" s="2" t="s">
        <v>284</v>
      </c>
      <c r="C39" s="13">
        <v>45334</v>
      </c>
      <c r="D39" s="14">
        <v>10</v>
      </c>
      <c r="E39" s="5">
        <v>0</v>
      </c>
      <c r="F39" s="10">
        <v>1.6</v>
      </c>
      <c r="G39" s="2">
        <v>0</v>
      </c>
    </row>
    <row r="40" spans="1:7" x14ac:dyDescent="0.35">
      <c r="A40" s="2" t="s">
        <v>266</v>
      </c>
      <c r="B40" s="2" t="s">
        <v>285</v>
      </c>
      <c r="C40" s="13">
        <v>45334</v>
      </c>
      <c r="D40" s="14">
        <v>16</v>
      </c>
      <c r="E40" s="5">
        <v>3.04</v>
      </c>
      <c r="F40" s="10">
        <v>1.8</v>
      </c>
      <c r="G40" s="2">
        <v>0</v>
      </c>
    </row>
    <row r="41" spans="1:7" x14ac:dyDescent="0.35">
      <c r="A41" s="2" t="s">
        <v>267</v>
      </c>
      <c r="B41" s="2" t="s">
        <v>286</v>
      </c>
      <c r="C41" s="13">
        <v>45335</v>
      </c>
      <c r="D41" s="14">
        <v>52</v>
      </c>
      <c r="E41" s="5">
        <v>1.41</v>
      </c>
      <c r="F41" s="10">
        <v>1.1000000000000001</v>
      </c>
      <c r="G41" s="2">
        <v>0</v>
      </c>
    </row>
    <row r="42" spans="1:7" x14ac:dyDescent="0.35">
      <c r="A42" s="2" t="s">
        <v>268</v>
      </c>
      <c r="B42" s="2" t="s">
        <v>287</v>
      </c>
      <c r="C42" s="13">
        <v>45335</v>
      </c>
      <c r="D42" s="14">
        <v>14</v>
      </c>
      <c r="E42" s="5">
        <v>0.49</v>
      </c>
      <c r="F42" s="10">
        <v>0</v>
      </c>
      <c r="G42" s="2">
        <v>0</v>
      </c>
    </row>
    <row r="43" spans="1:7" x14ac:dyDescent="0.35">
      <c r="A43" s="2"/>
      <c r="B43" s="2"/>
      <c r="C43" s="2"/>
      <c r="D43" s="2"/>
      <c r="E43" s="5"/>
      <c r="F43" s="10"/>
      <c r="G43" s="2"/>
    </row>
    <row r="44" spans="1:7" x14ac:dyDescent="0.35">
      <c r="A44" s="2"/>
      <c r="B44" s="2"/>
      <c r="C44" s="2"/>
      <c r="D44" s="2"/>
      <c r="E44" s="11"/>
      <c r="F44" s="10"/>
      <c r="G44" s="2"/>
    </row>
    <row r="45" spans="1:7" x14ac:dyDescent="0.35">
      <c r="A45" s="2"/>
      <c r="B45" s="2"/>
      <c r="C45" s="2"/>
      <c r="D45" s="2"/>
      <c r="E45" s="11"/>
      <c r="F45" s="10"/>
      <c r="G45" s="2"/>
    </row>
    <row r="46" spans="1:7" x14ac:dyDescent="0.35">
      <c r="A46" s="2"/>
      <c r="B46" s="2"/>
      <c r="C46" s="2"/>
      <c r="D46" s="2"/>
      <c r="E46" s="11"/>
      <c r="F46" s="10"/>
      <c r="G46" s="2"/>
    </row>
    <row r="47" spans="1:7" x14ac:dyDescent="0.35">
      <c r="A47" s="2"/>
      <c r="B47" s="2"/>
      <c r="C47" s="2"/>
      <c r="D47" s="2"/>
      <c r="E47" s="11"/>
      <c r="F47" s="2"/>
      <c r="G47" s="2"/>
    </row>
    <row r="48" spans="1:7" x14ac:dyDescent="0.35">
      <c r="A48" s="2"/>
      <c r="B48" s="2"/>
      <c r="C48" s="2"/>
      <c r="D48" s="2"/>
      <c r="E48" s="11"/>
      <c r="F48" s="2"/>
      <c r="G48" s="2"/>
    </row>
    <row r="49" spans="1:7" x14ac:dyDescent="0.35">
      <c r="A49" s="2"/>
      <c r="B49" s="2"/>
      <c r="C49" s="2"/>
      <c r="D49" s="2"/>
      <c r="E49" s="11"/>
      <c r="F49" s="2"/>
      <c r="G49" s="2"/>
    </row>
    <row r="50" spans="1:7" x14ac:dyDescent="0.35">
      <c r="A50" s="2"/>
      <c r="B50" s="2"/>
      <c r="C50" s="2"/>
      <c r="D50" s="2"/>
      <c r="E50" s="11"/>
      <c r="F50" s="2"/>
      <c r="G50" s="2"/>
    </row>
    <row r="51" spans="1:7" x14ac:dyDescent="0.35">
      <c r="A51" s="2"/>
      <c r="B51" s="2"/>
      <c r="C51" s="2"/>
      <c r="D51" s="2"/>
      <c r="E51" s="11"/>
      <c r="F51" s="2"/>
      <c r="G51" s="2"/>
    </row>
    <row r="52" spans="1:7" x14ac:dyDescent="0.35">
      <c r="A52" s="2"/>
      <c r="B52" s="2"/>
      <c r="C52" s="2"/>
      <c r="D52" s="2"/>
      <c r="E52" s="11"/>
      <c r="F52" s="2"/>
      <c r="G52" s="2"/>
    </row>
    <row r="53" spans="1:7" x14ac:dyDescent="0.35">
      <c r="A53" s="2"/>
      <c r="B53" s="2"/>
      <c r="C53" s="2"/>
      <c r="D53" s="2"/>
      <c r="E53" s="11"/>
      <c r="F53" s="2"/>
      <c r="G53" s="2"/>
    </row>
    <row r="54" spans="1:7" x14ac:dyDescent="0.35">
      <c r="A54" s="2"/>
      <c r="B54" s="2"/>
      <c r="C54" s="2"/>
      <c r="D54" s="2"/>
      <c r="E54" s="11"/>
      <c r="F54" s="2"/>
      <c r="G54" s="2"/>
    </row>
    <row r="55" spans="1:7" x14ac:dyDescent="0.35">
      <c r="A55" s="2"/>
      <c r="B55" s="2"/>
      <c r="C55" s="2"/>
      <c r="D55" s="2"/>
      <c r="E55" s="11"/>
      <c r="F55" s="2"/>
      <c r="G55" s="2"/>
    </row>
    <row r="56" spans="1:7" x14ac:dyDescent="0.35">
      <c r="A56" s="2"/>
      <c r="B56" s="2"/>
      <c r="C56" s="2"/>
      <c r="D56" s="2"/>
      <c r="E56" s="11"/>
      <c r="F56" s="2"/>
      <c r="G56" s="2"/>
    </row>
    <row r="57" spans="1:7" x14ac:dyDescent="0.35">
      <c r="A57" s="2"/>
      <c r="B57" s="2"/>
      <c r="C57" s="2"/>
      <c r="D57" s="2"/>
      <c r="E57" s="11"/>
      <c r="F57" s="2"/>
      <c r="G57" s="2"/>
    </row>
    <row r="58" spans="1:7" x14ac:dyDescent="0.35">
      <c r="A58" s="2"/>
      <c r="B58" s="2"/>
      <c r="C58" s="2"/>
      <c r="D58" s="2"/>
      <c r="E58" s="11"/>
      <c r="F58" s="2"/>
      <c r="G58" s="2"/>
    </row>
    <row r="59" spans="1:7" x14ac:dyDescent="0.35">
      <c r="A59" s="2"/>
      <c r="B59" s="2"/>
      <c r="C59" s="2"/>
      <c r="D59" s="2"/>
      <c r="E59" s="11"/>
      <c r="F59" s="2"/>
      <c r="G59" s="2"/>
    </row>
    <row r="60" spans="1:7" x14ac:dyDescent="0.35">
      <c r="A60" s="2"/>
      <c r="B60" s="2"/>
      <c r="C60" s="2"/>
      <c r="D60" s="2"/>
      <c r="E60" s="11"/>
      <c r="F60" s="2"/>
      <c r="G60" s="2"/>
    </row>
    <row r="61" spans="1:7" x14ac:dyDescent="0.35">
      <c r="A61" s="2"/>
      <c r="B61" s="2"/>
      <c r="C61" s="2"/>
      <c r="D61" s="2"/>
      <c r="E61" s="11"/>
      <c r="F61" s="2"/>
      <c r="G61" s="2"/>
    </row>
    <row r="62" spans="1:7" x14ac:dyDescent="0.35">
      <c r="A62" s="2"/>
      <c r="B62" s="2"/>
      <c r="C62" s="2"/>
      <c r="D62" s="2"/>
      <c r="E62" s="11"/>
      <c r="F62" s="2"/>
      <c r="G62" s="2"/>
    </row>
    <row r="63" spans="1:7" x14ac:dyDescent="0.35">
      <c r="A63" s="2"/>
      <c r="B63" s="2"/>
      <c r="C63" s="2"/>
      <c r="D63" s="2"/>
      <c r="E63" s="11"/>
      <c r="F63" s="2"/>
      <c r="G63" s="2"/>
    </row>
    <row r="64" spans="1:7" x14ac:dyDescent="0.35">
      <c r="A64" s="2"/>
      <c r="B64" s="2"/>
      <c r="C64" s="2"/>
      <c r="D64" s="2"/>
      <c r="E64" s="11"/>
      <c r="F64" s="2"/>
      <c r="G64" s="2"/>
    </row>
    <row r="65" spans="1:7" x14ac:dyDescent="0.35">
      <c r="A65" s="2"/>
      <c r="B65" s="2"/>
      <c r="C65" s="2"/>
      <c r="D65" s="2"/>
      <c r="E65" s="11"/>
      <c r="F65" s="2"/>
      <c r="G65" s="2"/>
    </row>
    <row r="66" spans="1:7" x14ac:dyDescent="0.35">
      <c r="A66" s="2"/>
      <c r="B66" s="2"/>
      <c r="C66" s="2"/>
      <c r="D66" s="2"/>
      <c r="E66" s="11"/>
      <c r="F66" s="2"/>
      <c r="G66" s="2"/>
    </row>
    <row r="67" spans="1:7" x14ac:dyDescent="0.35">
      <c r="A67" s="2"/>
      <c r="B67" s="2"/>
      <c r="C67" s="2"/>
      <c r="D67" s="2"/>
      <c r="E67" s="11"/>
      <c r="F67" s="2"/>
      <c r="G67" s="2"/>
    </row>
    <row r="68" spans="1:7" x14ac:dyDescent="0.35">
      <c r="A68" s="2"/>
      <c r="B68" s="2"/>
      <c r="C68" s="2"/>
      <c r="D68" s="2"/>
      <c r="E68" s="11"/>
      <c r="F68" s="2"/>
      <c r="G68" s="2"/>
    </row>
    <row r="69" spans="1:7" x14ac:dyDescent="0.35">
      <c r="A69" s="2"/>
      <c r="B69" s="2"/>
      <c r="C69" s="2"/>
      <c r="D69" s="2"/>
      <c r="E69" s="11"/>
      <c r="F69" s="2"/>
      <c r="G69" s="2"/>
    </row>
    <row r="70" spans="1:7" x14ac:dyDescent="0.35">
      <c r="A70" s="2"/>
      <c r="B70" s="2"/>
      <c r="C70" s="2"/>
      <c r="D70" s="2"/>
      <c r="E70" s="11"/>
      <c r="F70" s="2"/>
      <c r="G70" s="2"/>
    </row>
    <row r="71" spans="1:7" x14ac:dyDescent="0.35">
      <c r="A71" s="2"/>
      <c r="B71" s="2"/>
      <c r="C71" s="2"/>
      <c r="D71" s="2"/>
      <c r="E71" s="11"/>
      <c r="F71" s="2"/>
      <c r="G71" s="2"/>
    </row>
    <row r="72" spans="1:7" x14ac:dyDescent="0.35">
      <c r="A72" s="2"/>
      <c r="B72" s="2"/>
      <c r="C72" s="2"/>
      <c r="D72" s="2"/>
      <c r="E72" s="11"/>
      <c r="F72" s="2"/>
      <c r="G72" s="2"/>
    </row>
    <row r="73" spans="1:7" x14ac:dyDescent="0.35">
      <c r="A73" s="2"/>
      <c r="B73" s="2"/>
      <c r="C73" s="2"/>
      <c r="D73" s="2"/>
      <c r="E73" s="11"/>
      <c r="F73" s="2"/>
      <c r="G73" s="2"/>
    </row>
    <row r="74" spans="1:7" x14ac:dyDescent="0.35">
      <c r="A74" s="2"/>
      <c r="B74" s="2"/>
      <c r="C74" s="2"/>
      <c r="D74" s="2"/>
      <c r="E74" s="11"/>
      <c r="F74" s="2"/>
      <c r="G74" s="2"/>
    </row>
    <row r="75" spans="1:7" x14ac:dyDescent="0.35">
      <c r="A75" s="2"/>
      <c r="B75" s="2"/>
      <c r="C75" s="2"/>
      <c r="D75" s="2"/>
      <c r="E75" s="11"/>
      <c r="F75" s="2"/>
      <c r="G75" s="2"/>
    </row>
    <row r="76" spans="1:7" x14ac:dyDescent="0.35">
      <c r="A76" s="2"/>
      <c r="B76" s="2"/>
      <c r="C76" s="2"/>
      <c r="D76" s="2"/>
      <c r="E76" s="11"/>
      <c r="F76" s="2"/>
      <c r="G76" s="2"/>
    </row>
    <row r="77" spans="1:7" x14ac:dyDescent="0.35">
      <c r="A77" s="2"/>
      <c r="B77" s="2"/>
      <c r="C77" s="2"/>
      <c r="D77" s="2"/>
      <c r="E77" s="11"/>
      <c r="F77" s="2"/>
      <c r="G77" s="2"/>
    </row>
    <row r="78" spans="1:7" x14ac:dyDescent="0.35">
      <c r="A78" s="2"/>
      <c r="B78" s="2"/>
      <c r="C78" s="2"/>
      <c r="D78" s="2"/>
      <c r="E78" s="11"/>
      <c r="F78" s="2"/>
      <c r="G78" s="2"/>
    </row>
    <row r="79" spans="1:7" x14ac:dyDescent="0.35">
      <c r="A79" s="2"/>
      <c r="B79" s="2"/>
      <c r="C79" s="2"/>
      <c r="D79" s="2"/>
      <c r="E79" s="11"/>
      <c r="F79" s="2"/>
      <c r="G79" s="2"/>
    </row>
    <row r="80" spans="1:7" x14ac:dyDescent="0.35">
      <c r="A80" s="2"/>
      <c r="B80" s="2"/>
      <c r="C80" s="2"/>
      <c r="D80" s="2"/>
      <c r="E80" s="11"/>
      <c r="F80" s="2"/>
      <c r="G80" s="2"/>
    </row>
    <row r="81" spans="1:7" x14ac:dyDescent="0.35">
      <c r="A81" s="2"/>
      <c r="B81" s="2"/>
      <c r="C81" s="2"/>
      <c r="D81" s="2"/>
      <c r="E81" s="11"/>
      <c r="F81" s="2"/>
      <c r="G81" s="2"/>
    </row>
    <row r="82" spans="1:7" x14ac:dyDescent="0.35">
      <c r="A82" s="2"/>
      <c r="B82" s="2"/>
      <c r="C82" s="2"/>
      <c r="D82" s="2"/>
      <c r="E82" s="11"/>
      <c r="F82" s="10"/>
      <c r="G82" s="2"/>
    </row>
    <row r="83" spans="1:7" x14ac:dyDescent="0.35">
      <c r="A83" s="2"/>
      <c r="B83" s="2"/>
      <c r="C83" s="2"/>
      <c r="D83" s="2"/>
      <c r="E83" s="11"/>
      <c r="F83" s="10"/>
      <c r="G83" s="2"/>
    </row>
    <row r="84" spans="1:7" x14ac:dyDescent="0.35">
      <c r="A84" s="2"/>
      <c r="B84" s="2"/>
      <c r="C84" s="2"/>
      <c r="D84" s="2"/>
      <c r="E84" s="11"/>
      <c r="F84" s="10"/>
      <c r="G84" s="2"/>
    </row>
    <row r="85" spans="1:7" x14ac:dyDescent="0.35">
      <c r="A85" s="2"/>
      <c r="B85" s="2"/>
      <c r="C85" s="2"/>
      <c r="D85" s="2"/>
      <c r="E85" s="11"/>
      <c r="F85" s="10"/>
      <c r="G85" s="2"/>
    </row>
    <row r="86" spans="1:7" x14ac:dyDescent="0.35">
      <c r="A86" s="2"/>
      <c r="B86" s="2"/>
      <c r="C86" s="2"/>
      <c r="D86" s="2"/>
      <c r="E86" s="11"/>
      <c r="F86" s="10"/>
      <c r="G86" s="2"/>
    </row>
    <row r="87" spans="1:7" x14ac:dyDescent="0.35">
      <c r="A87" s="2"/>
      <c r="B87" s="2"/>
      <c r="C87" s="2"/>
      <c r="D87" s="2"/>
      <c r="E87" s="11"/>
      <c r="F87" s="2"/>
      <c r="G87" s="2"/>
    </row>
    <row r="88" spans="1:7" x14ac:dyDescent="0.35">
      <c r="A88" s="2"/>
      <c r="B88" s="2"/>
      <c r="C88" s="2"/>
      <c r="D88" s="2"/>
      <c r="E88" s="11"/>
      <c r="F88" s="2"/>
      <c r="G88" s="2"/>
    </row>
    <row r="89" spans="1:7" x14ac:dyDescent="0.35">
      <c r="A89" s="2"/>
      <c r="B89" s="2"/>
      <c r="C89" s="2"/>
      <c r="D89" s="2"/>
      <c r="E89" s="11"/>
      <c r="F89" s="2"/>
      <c r="G89" s="2"/>
    </row>
    <row r="90" spans="1:7" x14ac:dyDescent="0.35">
      <c r="A90" s="2"/>
      <c r="B90" s="2"/>
      <c r="C90" s="2"/>
      <c r="D90" s="2"/>
      <c r="E90" s="11"/>
      <c r="F90" s="2"/>
      <c r="G90" s="2"/>
    </row>
    <row r="91" spans="1:7" x14ac:dyDescent="0.35">
      <c r="A91" s="2"/>
      <c r="B91" s="2"/>
      <c r="C91" s="2"/>
      <c r="D91" s="2"/>
      <c r="E91" s="11"/>
      <c r="F91" s="2"/>
      <c r="G91" s="2"/>
    </row>
    <row r="92" spans="1:7" x14ac:dyDescent="0.35">
      <c r="A92" s="2"/>
      <c r="B92" s="2"/>
      <c r="C92" s="2"/>
      <c r="D92" s="2"/>
      <c r="E92" s="11"/>
      <c r="F92" s="2"/>
      <c r="G92" s="2"/>
    </row>
    <row r="93" spans="1:7" x14ac:dyDescent="0.35">
      <c r="A93" s="2"/>
      <c r="B93" s="2"/>
      <c r="C93" s="2"/>
      <c r="D93" s="2"/>
      <c r="E93" s="11"/>
      <c r="F93" s="2"/>
      <c r="G93" s="2"/>
    </row>
    <row r="94" spans="1:7" x14ac:dyDescent="0.35">
      <c r="A94" s="2"/>
      <c r="B94" s="2"/>
      <c r="C94" s="2"/>
      <c r="D94" s="2"/>
      <c r="E94" s="11"/>
      <c r="F94" s="2"/>
      <c r="G94" s="2"/>
    </row>
    <row r="95" spans="1:7" x14ac:dyDescent="0.35">
      <c r="A95" s="2"/>
      <c r="B95" s="2"/>
      <c r="C95" s="2"/>
      <c r="D95" s="2"/>
      <c r="E95" s="11"/>
      <c r="F95" s="2"/>
      <c r="G95" s="2"/>
    </row>
    <row r="96" spans="1:7" x14ac:dyDescent="0.35">
      <c r="A96" s="2"/>
      <c r="B96" s="2"/>
      <c r="C96" s="2"/>
      <c r="D96" s="2"/>
      <c r="E96" s="11"/>
      <c r="F96" s="2"/>
      <c r="G96" s="2"/>
    </row>
    <row r="97" spans="1:7" x14ac:dyDescent="0.35">
      <c r="A97" s="2"/>
      <c r="B97" s="2"/>
      <c r="C97" s="2"/>
      <c r="D97" s="2"/>
      <c r="E97" s="11"/>
      <c r="F97" s="2"/>
      <c r="G97" s="2"/>
    </row>
    <row r="98" spans="1:7" x14ac:dyDescent="0.35">
      <c r="A98" s="2"/>
      <c r="B98" s="2"/>
      <c r="C98" s="2"/>
      <c r="D98" s="2"/>
      <c r="E98" s="11"/>
      <c r="F98" s="2"/>
      <c r="G98" s="2"/>
    </row>
    <row r="99" spans="1:7" x14ac:dyDescent="0.35">
      <c r="A99" s="2"/>
      <c r="B99" s="2"/>
      <c r="C99" s="2"/>
      <c r="D99" s="2"/>
      <c r="E99" s="11"/>
      <c r="F99" s="2"/>
      <c r="G99" s="2"/>
    </row>
    <row r="100" spans="1:7" x14ac:dyDescent="0.35">
      <c r="A100" s="2"/>
      <c r="B100" s="2"/>
      <c r="C100" s="2"/>
      <c r="D100" s="2"/>
      <c r="E100" s="11"/>
      <c r="F100" s="2"/>
      <c r="G100" s="2"/>
    </row>
    <row r="101" spans="1:7" x14ac:dyDescent="0.35">
      <c r="A101" s="2"/>
      <c r="B101" s="2"/>
      <c r="C101" s="2"/>
      <c r="D101" s="2"/>
      <c r="E101" s="11"/>
      <c r="F101" s="2"/>
      <c r="G101" s="2"/>
    </row>
    <row r="102" spans="1:7" x14ac:dyDescent="0.35">
      <c r="A102" s="2"/>
      <c r="B102" s="2"/>
      <c r="C102" s="2"/>
      <c r="D102" s="2"/>
      <c r="E102" s="11"/>
      <c r="F102" s="2"/>
      <c r="G102" s="2"/>
    </row>
    <row r="103" spans="1:7" x14ac:dyDescent="0.35">
      <c r="A103" s="2"/>
      <c r="B103" s="2"/>
      <c r="C103" s="2"/>
      <c r="D103" s="2"/>
      <c r="E103" s="11"/>
      <c r="F103" s="2"/>
      <c r="G103" s="2"/>
    </row>
    <row r="104" spans="1:7" x14ac:dyDescent="0.35">
      <c r="A104" s="2"/>
      <c r="B104" s="2"/>
      <c r="C104" s="2"/>
      <c r="D104" s="2"/>
      <c r="E104" s="11"/>
      <c r="F104" s="2"/>
      <c r="G104" s="2"/>
    </row>
    <row r="105" spans="1:7" x14ac:dyDescent="0.35">
      <c r="A105" s="2"/>
      <c r="B105" s="2"/>
      <c r="C105" s="2"/>
      <c r="D105" s="2"/>
      <c r="E105" s="11"/>
      <c r="F105" s="2"/>
      <c r="G105" s="2"/>
    </row>
    <row r="106" spans="1:7" x14ac:dyDescent="0.35">
      <c r="A106" s="2"/>
      <c r="B106" s="2"/>
      <c r="C106" s="2"/>
      <c r="D106" s="2"/>
      <c r="E106" s="11"/>
      <c r="F106" s="2"/>
      <c r="G106" s="2"/>
    </row>
    <row r="107" spans="1:7" x14ac:dyDescent="0.35">
      <c r="A107" s="2"/>
      <c r="B107" s="2"/>
      <c r="C107" s="2"/>
      <c r="D107" s="2"/>
      <c r="E107" s="11"/>
      <c r="F107" s="2"/>
      <c r="G107" s="2"/>
    </row>
    <row r="108" spans="1:7" x14ac:dyDescent="0.35">
      <c r="A108" s="2"/>
      <c r="B108" s="2"/>
      <c r="C108" s="2"/>
      <c r="D108" s="2"/>
      <c r="E108" s="11"/>
      <c r="F108" s="2"/>
      <c r="G108" s="2"/>
    </row>
    <row r="109" spans="1:7" x14ac:dyDescent="0.35">
      <c r="A109" s="2"/>
      <c r="B109" s="2"/>
      <c r="C109" s="2"/>
      <c r="D109" s="2"/>
      <c r="E109" s="11"/>
      <c r="F109" s="2"/>
      <c r="G109" s="2"/>
    </row>
    <row r="110" spans="1:7" x14ac:dyDescent="0.35">
      <c r="A110" s="2"/>
      <c r="B110" s="2"/>
      <c r="C110" s="2"/>
      <c r="D110" s="2"/>
      <c r="E110" s="11"/>
      <c r="F110" s="2"/>
      <c r="G110" s="2"/>
    </row>
    <row r="111" spans="1:7" x14ac:dyDescent="0.35">
      <c r="A111" s="2"/>
      <c r="B111" s="2"/>
      <c r="C111" s="2"/>
      <c r="D111" s="2"/>
      <c r="E111" s="11"/>
      <c r="F111" s="2"/>
      <c r="G111" s="2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22"/>
  <sheetViews>
    <sheetView tabSelected="1" workbookViewId="0">
      <pane xSplit="3" ySplit="1" topLeftCell="H2" activePane="bottomRight" state="frozen"/>
      <selection pane="topRight" activeCell="C1" sqref="C1"/>
      <selection pane="bottomLeft" activeCell="A3" sqref="A3"/>
      <selection pane="bottomRight" activeCell="U70" sqref="U70:U74"/>
    </sheetView>
  </sheetViews>
  <sheetFormatPr defaultRowHeight="14.5" x14ac:dyDescent="0.35"/>
  <cols>
    <col min="1" max="1" width="18.6328125" bestFit="1" customWidth="1"/>
    <col min="2" max="2" width="10.08984375" bestFit="1" customWidth="1"/>
    <col min="3" max="3" width="15.7265625" bestFit="1" customWidth="1"/>
    <col min="4" max="4" width="8.36328125" bestFit="1" customWidth="1"/>
    <col min="5" max="5" width="12.26953125" bestFit="1" customWidth="1"/>
    <col min="6" max="6" width="15.7265625" bestFit="1" customWidth="1"/>
    <col min="7" max="7" width="5.90625" bestFit="1" customWidth="1"/>
    <col min="8" max="9" width="8.81640625" bestFit="1" customWidth="1"/>
    <col min="10" max="10" width="7.36328125" bestFit="1" customWidth="1"/>
    <col min="11" max="11" width="11.90625" bestFit="1" customWidth="1"/>
    <col min="12" max="12" width="11.6328125" bestFit="1" customWidth="1"/>
    <col min="13" max="13" width="8" bestFit="1" customWidth="1"/>
    <col min="14" max="14" width="13.08984375" bestFit="1" customWidth="1"/>
    <col min="15" max="15" width="8.81640625" bestFit="1" customWidth="1"/>
    <col min="16" max="16" width="6.6328125" bestFit="1" customWidth="1"/>
    <col min="17" max="17" width="8.81640625" bestFit="1" customWidth="1"/>
    <col min="18" max="18" width="7.36328125" bestFit="1" customWidth="1"/>
    <col min="19" max="19" width="17.90625" bestFit="1" customWidth="1"/>
    <col min="20" max="20" width="17.1796875" bestFit="1" customWidth="1"/>
    <col min="21" max="21" width="7.90625" bestFit="1" customWidth="1"/>
    <col min="22" max="22" width="8.81640625" bestFit="1" customWidth="1"/>
    <col min="23" max="23" width="5.36328125" bestFit="1" customWidth="1"/>
    <col min="24" max="24" width="4.36328125" bestFit="1" customWidth="1"/>
    <col min="25" max="25" width="10" bestFit="1" customWidth="1"/>
    <col min="26" max="26" width="12.36328125" bestFit="1" customWidth="1"/>
    <col min="27" max="28" width="5.36328125" bestFit="1" customWidth="1"/>
    <col min="29" max="29" width="6.7265625" bestFit="1" customWidth="1"/>
  </cols>
  <sheetData>
    <row r="1" spans="1:29" x14ac:dyDescent="0.35">
      <c r="A1" s="8" t="s">
        <v>178</v>
      </c>
      <c r="B1" s="8" t="s">
        <v>179</v>
      </c>
      <c r="C1" s="8" t="s">
        <v>180</v>
      </c>
      <c r="D1" s="8" t="s">
        <v>226</v>
      </c>
      <c r="E1" s="9" t="s">
        <v>221</v>
      </c>
      <c r="F1" s="8" t="s">
        <v>228</v>
      </c>
      <c r="G1" s="8" t="s">
        <v>227</v>
      </c>
      <c r="H1" s="8" t="s">
        <v>0</v>
      </c>
      <c r="I1" s="8" t="s">
        <v>230</v>
      </c>
      <c r="J1" s="8" t="s">
        <v>229</v>
      </c>
      <c r="K1" s="15" t="s">
        <v>231</v>
      </c>
      <c r="L1" s="15" t="s">
        <v>235</v>
      </c>
      <c r="M1" s="15" t="s">
        <v>232</v>
      </c>
      <c r="N1" s="15" t="s">
        <v>234</v>
      </c>
      <c r="O1" s="15" t="s">
        <v>233</v>
      </c>
      <c r="P1" s="15" t="s">
        <v>236</v>
      </c>
      <c r="Q1" s="15" t="s">
        <v>237</v>
      </c>
      <c r="R1" s="15" t="s">
        <v>238</v>
      </c>
      <c r="S1" s="15" t="s">
        <v>239</v>
      </c>
      <c r="T1" s="15" t="s">
        <v>240</v>
      </c>
      <c r="U1" s="15" t="s">
        <v>241</v>
      </c>
      <c r="V1" s="15" t="s">
        <v>242</v>
      </c>
      <c r="W1" s="4" t="s">
        <v>245</v>
      </c>
      <c r="X1" s="4" t="s">
        <v>246</v>
      </c>
      <c r="Y1" s="4" t="s">
        <v>247</v>
      </c>
      <c r="Z1" s="4" t="s">
        <v>243</v>
      </c>
      <c r="AA1" s="4" t="s">
        <v>244</v>
      </c>
      <c r="AB1" s="4" t="s">
        <v>248</v>
      </c>
      <c r="AC1" s="4" t="s">
        <v>249</v>
      </c>
    </row>
    <row r="2" spans="1:29" x14ac:dyDescent="0.35">
      <c r="A2" s="2" t="s">
        <v>7</v>
      </c>
      <c r="B2" s="2" t="s">
        <v>4</v>
      </c>
      <c r="C2" s="13">
        <v>45022</v>
      </c>
      <c r="D2" s="7" t="s">
        <v>9</v>
      </c>
      <c r="E2" s="21">
        <v>0</v>
      </c>
      <c r="F2" s="10">
        <v>11.5</v>
      </c>
      <c r="G2" s="19">
        <v>5.4</v>
      </c>
      <c r="H2" s="5">
        <v>7.41</v>
      </c>
      <c r="I2" s="10">
        <v>111</v>
      </c>
      <c r="J2" s="6">
        <v>254</v>
      </c>
      <c r="K2" s="16">
        <v>584</v>
      </c>
      <c r="L2" s="16">
        <v>557</v>
      </c>
      <c r="M2" s="17">
        <v>0.1</v>
      </c>
      <c r="N2" s="17">
        <v>15.5</v>
      </c>
      <c r="O2" s="17">
        <v>1.4999999999999999E-2</v>
      </c>
      <c r="P2" s="17">
        <v>5</v>
      </c>
      <c r="Q2" s="17">
        <v>10.9</v>
      </c>
      <c r="R2" s="17">
        <v>10.484999999999999</v>
      </c>
      <c r="S2" s="20">
        <v>6</v>
      </c>
      <c r="T2" s="20">
        <v>6</v>
      </c>
      <c r="U2" s="5">
        <v>13.599999999999994</v>
      </c>
      <c r="V2" s="5" t="s">
        <v>139</v>
      </c>
      <c r="W2" s="22">
        <v>0.20867383512542267</v>
      </c>
      <c r="X2" s="22">
        <v>0.10885304659488247</v>
      </c>
      <c r="Y2" s="12">
        <v>51.761654307065164</v>
      </c>
      <c r="Z2" s="3">
        <v>9.7849462365589678E-3</v>
      </c>
      <c r="AA2" s="3">
        <v>5.1612903225806583E-2</v>
      </c>
      <c r="AB2" s="3">
        <v>4.5161290322580601E-2</v>
      </c>
      <c r="AC2" s="3">
        <v>0.87499999999999689</v>
      </c>
    </row>
    <row r="3" spans="1:29" x14ac:dyDescent="0.35">
      <c r="A3" s="2" t="s">
        <v>7</v>
      </c>
      <c r="B3" s="2" t="s">
        <v>4</v>
      </c>
      <c r="C3" s="13">
        <v>45022</v>
      </c>
      <c r="D3" s="7" t="s">
        <v>10</v>
      </c>
      <c r="E3" s="21">
        <v>0.65</v>
      </c>
      <c r="F3" s="10">
        <v>11.494</v>
      </c>
      <c r="G3" s="19">
        <v>4</v>
      </c>
      <c r="H3" s="5">
        <v>6.21</v>
      </c>
      <c r="I3" s="10">
        <v>-80</v>
      </c>
      <c r="J3" s="6">
        <v>400</v>
      </c>
      <c r="K3" s="16">
        <v>585</v>
      </c>
      <c r="L3" s="16">
        <v>555.66666666666663</v>
      </c>
      <c r="M3" s="17">
        <v>0.1</v>
      </c>
      <c r="N3" s="17">
        <v>16.3</v>
      </c>
      <c r="O3" s="17">
        <v>1.4999999999999999E-2</v>
      </c>
      <c r="P3" s="17">
        <v>5</v>
      </c>
      <c r="Q3" s="17">
        <v>11</v>
      </c>
      <c r="R3" s="17">
        <v>11.285</v>
      </c>
      <c r="S3" s="20">
        <v>6</v>
      </c>
      <c r="T3" s="20">
        <v>6</v>
      </c>
      <c r="U3" s="5">
        <v>11.899999999999995</v>
      </c>
      <c r="V3" s="5" t="s">
        <v>140</v>
      </c>
      <c r="W3" s="22">
        <v>0.22000000000019782</v>
      </c>
      <c r="X3" s="22">
        <v>0.14000000000038426</v>
      </c>
      <c r="Y3" s="12">
        <v>63.636363636481086</v>
      </c>
      <c r="Z3" s="3">
        <v>6.6666666666668579E-3</v>
      </c>
      <c r="AA3" s="3">
        <v>5.0000000000000044E-2</v>
      </c>
      <c r="AB3" s="3">
        <v>4.3333333333333654E-2</v>
      </c>
      <c r="AC3" s="3">
        <v>0.86666666666667236</v>
      </c>
    </row>
    <row r="4" spans="1:29" x14ac:dyDescent="0.35">
      <c r="A4" s="2" t="s">
        <v>7</v>
      </c>
      <c r="B4" s="2" t="s">
        <v>4</v>
      </c>
      <c r="C4" s="13">
        <v>45022</v>
      </c>
      <c r="D4" s="7" t="s">
        <v>11</v>
      </c>
      <c r="E4" s="21">
        <v>1.31</v>
      </c>
      <c r="F4" s="10">
        <v>10.7</v>
      </c>
      <c r="G4" s="19">
        <v>1</v>
      </c>
      <c r="H4" s="5">
        <v>6.89</v>
      </c>
      <c r="I4" s="10">
        <v>-75</v>
      </c>
      <c r="J4" s="6">
        <v>254</v>
      </c>
      <c r="K4" s="16">
        <v>625</v>
      </c>
      <c r="L4" s="16">
        <v>572</v>
      </c>
      <c r="M4" s="17">
        <v>0.25</v>
      </c>
      <c r="N4" s="17">
        <v>26.4</v>
      </c>
      <c r="O4" s="17">
        <v>1.4999999999999999E-2</v>
      </c>
      <c r="P4" s="17">
        <v>5</v>
      </c>
      <c r="Q4" s="17">
        <v>8.26</v>
      </c>
      <c r="R4" s="17">
        <v>21.384999999999998</v>
      </c>
      <c r="S4" s="20">
        <v>6</v>
      </c>
      <c r="T4" s="20">
        <v>6.26</v>
      </c>
      <c r="U4" s="5">
        <v>66.100000000000009</v>
      </c>
      <c r="V4" s="5" t="s">
        <v>141</v>
      </c>
      <c r="W4" s="22">
        <v>0.66333333333309008</v>
      </c>
      <c r="X4" s="22">
        <v>0.4133333333333174</v>
      </c>
      <c r="Y4" s="12">
        <v>62.311557788965175</v>
      </c>
      <c r="Z4" s="3">
        <v>0.14000000000000029</v>
      </c>
      <c r="AA4" s="3">
        <v>0.48677419354838714</v>
      </c>
      <c r="AB4" s="3">
        <v>0.31974910394265221</v>
      </c>
      <c r="AC4" s="3">
        <v>0.65687357337456709</v>
      </c>
    </row>
    <row r="5" spans="1:29" x14ac:dyDescent="0.35">
      <c r="A5" s="2" t="s">
        <v>8</v>
      </c>
      <c r="B5" s="2" t="s">
        <v>5</v>
      </c>
      <c r="C5" s="13">
        <v>45022</v>
      </c>
      <c r="D5" s="7" t="s">
        <v>9</v>
      </c>
      <c r="E5" s="21">
        <v>0</v>
      </c>
      <c r="F5" s="10">
        <v>9.5370000000000008</v>
      </c>
      <c r="G5" s="19">
        <v>5.81</v>
      </c>
      <c r="H5" s="5">
        <v>7.21</v>
      </c>
      <c r="I5" s="10">
        <v>113.6</v>
      </c>
      <c r="J5" s="6">
        <v>313</v>
      </c>
      <c r="K5" s="16">
        <v>676</v>
      </c>
      <c r="L5" s="16">
        <v>564</v>
      </c>
      <c r="M5" s="17">
        <v>0.158</v>
      </c>
      <c r="N5" s="17">
        <v>46</v>
      </c>
      <c r="O5" s="17">
        <v>0.17599999999999999</v>
      </c>
      <c r="P5" s="17">
        <v>16.399999999999999</v>
      </c>
      <c r="Q5" s="17">
        <v>2</v>
      </c>
      <c r="R5" s="17">
        <v>29.423999999999999</v>
      </c>
      <c r="S5" s="20">
        <v>7.82</v>
      </c>
      <c r="T5" s="20">
        <v>7.66</v>
      </c>
      <c r="U5" s="5">
        <v>22.899999999999991</v>
      </c>
      <c r="V5" s="5">
        <v>88</v>
      </c>
      <c r="W5" s="22">
        <v>0.80625000000011937</v>
      </c>
      <c r="X5" s="22">
        <v>0.53437499999997584</v>
      </c>
      <c r="Y5" s="12">
        <v>66.27906976742905</v>
      </c>
      <c r="Z5" s="3">
        <v>6.5625000000000142E-2</v>
      </c>
      <c r="AA5" s="3">
        <v>0.54000000000000026</v>
      </c>
      <c r="AB5" s="3">
        <v>0.37999999999999978</v>
      </c>
      <c r="AC5" s="3">
        <v>0.70370370370370294</v>
      </c>
    </row>
    <row r="6" spans="1:29" x14ac:dyDescent="0.35">
      <c r="A6" s="2" t="s">
        <v>8</v>
      </c>
      <c r="B6" s="2" t="s">
        <v>5</v>
      </c>
      <c r="C6" s="13">
        <v>45022</v>
      </c>
      <c r="D6" s="7" t="s">
        <v>10</v>
      </c>
      <c r="E6" s="21">
        <v>0.9</v>
      </c>
      <c r="F6" s="10">
        <v>9.39</v>
      </c>
      <c r="G6" s="19">
        <v>8.2200000000000006</v>
      </c>
      <c r="H6" s="5">
        <v>7.21</v>
      </c>
      <c r="I6" s="10">
        <v>-260.3</v>
      </c>
      <c r="J6" s="6">
        <v>313</v>
      </c>
      <c r="K6" s="16">
        <v>745</v>
      </c>
      <c r="L6" s="16">
        <v>557</v>
      </c>
      <c r="M6" s="17">
        <v>0.19400000000000001</v>
      </c>
      <c r="N6" s="17">
        <v>17</v>
      </c>
      <c r="O6" s="17">
        <v>9.2999999999999999E-2</v>
      </c>
      <c r="P6" s="17">
        <v>16</v>
      </c>
      <c r="Q6" s="17">
        <v>2</v>
      </c>
      <c r="R6" s="17">
        <v>0.90700000000000003</v>
      </c>
      <c r="S6" s="20">
        <v>6.43</v>
      </c>
      <c r="T6" s="20">
        <v>6.49</v>
      </c>
      <c r="U6" s="5">
        <v>31.899999999999995</v>
      </c>
      <c r="V6" s="5">
        <v>60</v>
      </c>
      <c r="W6" s="22">
        <v>1.3099999999999075</v>
      </c>
      <c r="X6" s="22">
        <v>0.78666666666672802</v>
      </c>
      <c r="Y6" s="12">
        <v>60.050890585250663</v>
      </c>
      <c r="Z6" s="3">
        <v>0.19333333333333333</v>
      </c>
      <c r="AA6" s="3">
        <v>1.129999999999999</v>
      </c>
      <c r="AB6" s="3">
        <v>0.79999999999999927</v>
      </c>
      <c r="AC6" s="3">
        <v>0.70796460176991149</v>
      </c>
    </row>
    <row r="7" spans="1:29" x14ac:dyDescent="0.35">
      <c r="A7" s="2" t="s">
        <v>8</v>
      </c>
      <c r="B7" s="2" t="s">
        <v>5</v>
      </c>
      <c r="C7" s="13">
        <v>45022</v>
      </c>
      <c r="D7" s="7" t="s">
        <v>11</v>
      </c>
      <c r="E7" s="21">
        <v>1.82</v>
      </c>
      <c r="F7" s="10">
        <v>9.3960000000000008</v>
      </c>
      <c r="G7" s="19">
        <v>9.2100000000000009</v>
      </c>
      <c r="H7" s="5">
        <v>7.19</v>
      </c>
      <c r="I7" s="10">
        <v>-240.1</v>
      </c>
      <c r="J7" s="6">
        <v>326</v>
      </c>
      <c r="K7" s="16">
        <v>620</v>
      </c>
      <c r="L7" s="16">
        <v>573</v>
      </c>
      <c r="M7" s="17">
        <v>0.34699999999999998</v>
      </c>
      <c r="N7" s="17">
        <v>29</v>
      </c>
      <c r="O7" s="17">
        <v>9.8000000000000004E-2</v>
      </c>
      <c r="P7" s="17">
        <v>16.2</v>
      </c>
      <c r="Q7" s="17">
        <v>2</v>
      </c>
      <c r="R7" s="17">
        <v>12.702000000000002</v>
      </c>
      <c r="S7" s="20">
        <v>6.68</v>
      </c>
      <c r="T7" s="20">
        <v>7.25</v>
      </c>
      <c r="U7" s="5">
        <v>13.67</v>
      </c>
      <c r="V7" s="5">
        <v>25</v>
      </c>
      <c r="W7" s="22">
        <v>0.58200716845890976</v>
      </c>
      <c r="X7" s="22">
        <v>0.27225806451627382</v>
      </c>
      <c r="Y7" s="12">
        <v>46.742530345485477</v>
      </c>
      <c r="Z7" s="3">
        <v>2.523297491039438E-2</v>
      </c>
      <c r="AA7" s="3">
        <v>0.27812500000000018</v>
      </c>
      <c r="AB7" s="3">
        <v>0.21875000000000019</v>
      </c>
      <c r="AC7" s="3">
        <v>0.78651685393258441</v>
      </c>
    </row>
    <row r="8" spans="1:29" x14ac:dyDescent="0.35">
      <c r="A8" s="2" t="s">
        <v>6</v>
      </c>
      <c r="B8" s="2" t="s">
        <v>3</v>
      </c>
      <c r="C8" s="13">
        <v>45028</v>
      </c>
      <c r="D8" s="7" t="s">
        <v>9</v>
      </c>
      <c r="E8" s="21">
        <v>0</v>
      </c>
      <c r="F8" s="10">
        <v>10.847</v>
      </c>
      <c r="G8" s="19">
        <v>1.82</v>
      </c>
      <c r="H8" s="5">
        <v>7.34</v>
      </c>
      <c r="I8" s="10">
        <v>-184</v>
      </c>
      <c r="J8" s="6">
        <v>1306</v>
      </c>
      <c r="K8" s="16">
        <v>1316</v>
      </c>
      <c r="L8" s="16">
        <v>231</v>
      </c>
      <c r="M8" s="17">
        <v>0.48399999999999999</v>
      </c>
      <c r="N8" s="17">
        <v>168</v>
      </c>
      <c r="O8" s="17">
        <v>1.4999999999999999E-2</v>
      </c>
      <c r="P8" s="17">
        <v>5</v>
      </c>
      <c r="Q8" s="17">
        <v>149</v>
      </c>
      <c r="R8" s="17">
        <v>162.98500000000001</v>
      </c>
      <c r="S8" s="20">
        <v>40.5</v>
      </c>
      <c r="T8" s="20">
        <v>42.5</v>
      </c>
      <c r="U8" s="5">
        <v>150</v>
      </c>
      <c r="V8" s="5">
        <v>100</v>
      </c>
      <c r="W8" s="22">
        <v>0.98333333333329165</v>
      </c>
      <c r="X8" s="22">
        <v>0.52000000000020918</v>
      </c>
      <c r="Y8" s="12">
        <v>52.881355932226903</v>
      </c>
      <c r="Z8" s="3">
        <v>1.3333333333333253E-2</v>
      </c>
      <c r="AA8" s="3">
        <v>0.24333333333333335</v>
      </c>
      <c r="AB8" s="3">
        <v>0.21333333333333343</v>
      </c>
      <c r="AC8" s="3">
        <v>0.87671232876712368</v>
      </c>
    </row>
    <row r="9" spans="1:29" x14ac:dyDescent="0.35">
      <c r="A9" s="2" t="s">
        <v>6</v>
      </c>
      <c r="B9" s="2" t="s">
        <v>3</v>
      </c>
      <c r="C9" s="13">
        <v>45028</v>
      </c>
      <c r="D9" s="7" t="s">
        <v>10</v>
      </c>
      <c r="E9" s="21">
        <v>0.9</v>
      </c>
      <c r="F9" s="10">
        <v>10.462999999999999</v>
      </c>
      <c r="G9" s="19">
        <v>0.94</v>
      </c>
      <c r="H9" s="5">
        <v>7.27</v>
      </c>
      <c r="I9" s="10">
        <v>-225</v>
      </c>
      <c r="J9" s="6">
        <v>1412</v>
      </c>
      <c r="K9" s="16">
        <v>597</v>
      </c>
      <c r="L9" s="16">
        <v>286</v>
      </c>
      <c r="M9" s="17">
        <v>1.7399999999999998</v>
      </c>
      <c r="N9" s="17">
        <v>162</v>
      </c>
      <c r="O9" s="17">
        <v>1.4999999999999999E-2</v>
      </c>
      <c r="P9" s="17">
        <v>5</v>
      </c>
      <c r="Q9" s="17">
        <v>134</v>
      </c>
      <c r="R9" s="17">
        <v>156.98500000000001</v>
      </c>
      <c r="S9" s="20">
        <v>42</v>
      </c>
      <c r="T9" s="20">
        <v>6</v>
      </c>
      <c r="U9" s="5">
        <v>51.59999999999998</v>
      </c>
      <c r="V9" s="5">
        <v>54.9</v>
      </c>
      <c r="W9" s="22">
        <v>0.50666666666643323</v>
      </c>
      <c r="X9" s="22">
        <v>0.18333333333326132</v>
      </c>
      <c r="Y9" s="12">
        <v>36.184210526318253</v>
      </c>
      <c r="Z9" s="3">
        <v>1.3333333333333253E-2</v>
      </c>
      <c r="AA9" s="3">
        <v>7.0000000000000145E-2</v>
      </c>
      <c r="AB9" s="3">
        <v>6.6666666666666721E-2</v>
      </c>
      <c r="AC9" s="3">
        <v>0.95238095238095122</v>
      </c>
    </row>
    <row r="10" spans="1:29" x14ac:dyDescent="0.35">
      <c r="A10" s="2" t="s">
        <v>6</v>
      </c>
      <c r="B10" s="2" t="s">
        <v>3</v>
      </c>
      <c r="C10" s="13">
        <v>45028</v>
      </c>
      <c r="D10" s="7" t="s">
        <v>11</v>
      </c>
      <c r="E10" s="21">
        <v>1.85</v>
      </c>
      <c r="F10" s="10">
        <v>10.369</v>
      </c>
      <c r="G10" s="19">
        <v>0.57999999999999996</v>
      </c>
      <c r="H10" s="5">
        <v>6.94</v>
      </c>
      <c r="I10" s="10">
        <v>-241</v>
      </c>
      <c r="J10" s="6">
        <v>1436</v>
      </c>
      <c r="K10" s="16">
        <v>431</v>
      </c>
      <c r="L10" s="16">
        <v>272</v>
      </c>
      <c r="M10" s="17">
        <v>1.94</v>
      </c>
      <c r="N10" s="17">
        <v>147</v>
      </c>
      <c r="O10" s="17">
        <v>1.4999999999999999E-2</v>
      </c>
      <c r="P10" s="17">
        <v>5</v>
      </c>
      <c r="Q10" s="17">
        <v>136</v>
      </c>
      <c r="R10" s="17">
        <v>141.98500000000001</v>
      </c>
      <c r="S10" s="20">
        <v>43.6</v>
      </c>
      <c r="T10" s="20">
        <v>43.1</v>
      </c>
      <c r="U10" s="5">
        <v>77.799999999999983</v>
      </c>
      <c r="V10" s="5">
        <v>41.2</v>
      </c>
      <c r="W10" s="22">
        <v>0.61362007168448718</v>
      </c>
      <c r="X10" s="22">
        <v>0.26605734767017969</v>
      </c>
      <c r="Y10" s="12">
        <v>43.448783594855193</v>
      </c>
      <c r="Z10" s="3">
        <v>4.4444444444444176E-3</v>
      </c>
      <c r="AA10" s="3">
        <v>4.7777777777777759E-2</v>
      </c>
      <c r="AB10" s="3">
        <v>4.4444444444444488E-2</v>
      </c>
      <c r="AC10" s="3">
        <v>0.9302325581395362</v>
      </c>
    </row>
    <row r="11" spans="1:29" x14ac:dyDescent="0.35">
      <c r="A11" s="2" t="s">
        <v>1</v>
      </c>
      <c r="B11" s="2" t="s">
        <v>2</v>
      </c>
      <c r="C11" s="13">
        <v>45028</v>
      </c>
      <c r="D11" s="2" t="s">
        <v>9</v>
      </c>
      <c r="E11" s="10">
        <v>0</v>
      </c>
      <c r="F11" s="10">
        <v>13.952</v>
      </c>
      <c r="G11" s="5">
        <v>2.86</v>
      </c>
      <c r="H11" s="5">
        <v>6.77</v>
      </c>
      <c r="I11" s="10">
        <v>-110</v>
      </c>
      <c r="J11" s="6">
        <v>756</v>
      </c>
      <c r="K11" s="16">
        <v>1463</v>
      </c>
      <c r="L11" s="16">
        <v>294</v>
      </c>
      <c r="M11" s="17">
        <v>8.25</v>
      </c>
      <c r="N11" s="17">
        <v>99.1</v>
      </c>
      <c r="O11" s="17">
        <v>1.4999999999999999E-2</v>
      </c>
      <c r="P11" s="17">
        <v>5</v>
      </c>
      <c r="Q11" s="17">
        <v>66.399999999999991</v>
      </c>
      <c r="R11" s="17">
        <v>94.084999999999994</v>
      </c>
      <c r="S11" s="20">
        <v>20.399999999999999</v>
      </c>
      <c r="T11" s="20">
        <v>6</v>
      </c>
      <c r="U11" s="5">
        <v>125.4</v>
      </c>
      <c r="V11" s="5" t="s">
        <v>142</v>
      </c>
      <c r="W11" s="22">
        <v>0.99032258064503076</v>
      </c>
      <c r="X11" s="22">
        <v>0.74838709677428306</v>
      </c>
      <c r="Y11" s="12">
        <v>75.570032573308893</v>
      </c>
      <c r="Z11" s="3">
        <v>9.6774193548386733E-2</v>
      </c>
      <c r="AA11" s="3">
        <v>0.69999999999999984</v>
      </c>
      <c r="AB11" s="3">
        <v>0.59090909090909016</v>
      </c>
      <c r="AC11" s="3">
        <v>0.84415584415584333</v>
      </c>
    </row>
    <row r="12" spans="1:29" x14ac:dyDescent="0.35">
      <c r="A12" s="2" t="s">
        <v>1</v>
      </c>
      <c r="B12" s="2" t="s">
        <v>2</v>
      </c>
      <c r="C12" s="13">
        <v>45028</v>
      </c>
      <c r="D12" s="2" t="s">
        <v>10</v>
      </c>
      <c r="E12" s="10">
        <v>0.5</v>
      </c>
      <c r="F12" s="10">
        <v>13.548999999999999</v>
      </c>
      <c r="G12" s="5">
        <v>1.49</v>
      </c>
      <c r="H12" s="5">
        <v>6.86</v>
      </c>
      <c r="I12" s="10">
        <v>-170</v>
      </c>
      <c r="J12" s="6">
        <v>941</v>
      </c>
      <c r="K12" s="16">
        <v>752</v>
      </c>
      <c r="L12" s="16">
        <v>260</v>
      </c>
      <c r="M12" s="17">
        <v>3.16</v>
      </c>
      <c r="N12" s="17">
        <v>76.8</v>
      </c>
      <c r="O12" s="17">
        <v>1.4999999999999999E-2</v>
      </c>
      <c r="P12" s="17">
        <v>5</v>
      </c>
      <c r="Q12" s="17">
        <v>67.8</v>
      </c>
      <c r="R12" s="17">
        <v>71.784999999999997</v>
      </c>
      <c r="S12" s="20">
        <v>20.399999999999999</v>
      </c>
      <c r="T12" s="20">
        <v>6</v>
      </c>
      <c r="U12" s="5">
        <v>78.2</v>
      </c>
      <c r="V12" s="5" t="s">
        <v>143</v>
      </c>
      <c r="W12" s="22">
        <v>0.50000000000009537</v>
      </c>
      <c r="X12" s="22">
        <v>0.28387096774219073</v>
      </c>
      <c r="Y12" s="12">
        <v>56.77419354842732</v>
      </c>
      <c r="Z12" s="3">
        <v>2.9032258064516064E-2</v>
      </c>
      <c r="AA12" s="3">
        <v>0.24333333333333335</v>
      </c>
      <c r="AB12" s="3">
        <v>0.20333333333333314</v>
      </c>
      <c r="AC12" s="3">
        <v>0.83561643835616362</v>
      </c>
    </row>
    <row r="13" spans="1:29" x14ac:dyDescent="0.35">
      <c r="A13" s="2" t="s">
        <v>1</v>
      </c>
      <c r="B13" s="2" t="s">
        <v>2</v>
      </c>
      <c r="C13" s="13">
        <v>45028</v>
      </c>
      <c r="D13" s="2" t="s">
        <v>11</v>
      </c>
      <c r="E13" s="10">
        <v>1.05</v>
      </c>
      <c r="F13" s="10">
        <v>13.006</v>
      </c>
      <c r="G13" s="5">
        <v>0.83</v>
      </c>
      <c r="H13" s="5">
        <v>6.75</v>
      </c>
      <c r="I13" s="10">
        <v>-190</v>
      </c>
      <c r="J13" s="6">
        <v>1801</v>
      </c>
      <c r="K13" s="16">
        <v>4941</v>
      </c>
      <c r="L13" s="16">
        <v>321</v>
      </c>
      <c r="M13" s="17">
        <v>24.4</v>
      </c>
      <c r="N13" s="17">
        <v>282.33333333333337</v>
      </c>
      <c r="O13" s="17">
        <v>1.4999999999999999E-2</v>
      </c>
      <c r="P13" s="17">
        <v>5</v>
      </c>
      <c r="Q13" s="17">
        <v>88.066666666666663</v>
      </c>
      <c r="R13" s="17">
        <v>277.31833333333338</v>
      </c>
      <c r="S13" s="20">
        <f>AVERAGE(29.3,29.5)</f>
        <v>29.4</v>
      </c>
      <c r="T13" s="20">
        <f>AVERAGE(28.8,30.1)</f>
        <v>29.450000000000003</v>
      </c>
      <c r="U13" s="5">
        <v>180</v>
      </c>
      <c r="V13" s="5" t="s">
        <v>144</v>
      </c>
      <c r="W13" s="22">
        <v>3.1046953405016224</v>
      </c>
      <c r="X13" s="22">
        <v>2.5099641577060248</v>
      </c>
      <c r="Y13" s="12">
        <v>80.737363884645262</v>
      </c>
      <c r="Z13" s="3">
        <v>0.26709677419354855</v>
      </c>
      <c r="AA13" s="3">
        <v>2.324444444444445</v>
      </c>
      <c r="AB13" s="3">
        <v>1.9477777777777785</v>
      </c>
      <c r="AC13" s="3">
        <v>0.83795411089866167</v>
      </c>
    </row>
    <row r="14" spans="1:29" x14ac:dyDescent="0.35">
      <c r="A14" s="2" t="s">
        <v>17</v>
      </c>
      <c r="B14" s="2" t="s">
        <v>18</v>
      </c>
      <c r="C14" s="13">
        <v>45035</v>
      </c>
      <c r="D14" s="2" t="s">
        <v>9</v>
      </c>
      <c r="E14" s="10">
        <v>0</v>
      </c>
      <c r="F14" s="10">
        <v>18.196000000000002</v>
      </c>
      <c r="G14" s="5">
        <v>0.54</v>
      </c>
      <c r="H14" s="5">
        <v>7.12</v>
      </c>
      <c r="I14" s="10">
        <v>-474.8</v>
      </c>
      <c r="J14" s="6">
        <v>655</v>
      </c>
      <c r="K14" s="16">
        <v>6826</v>
      </c>
      <c r="L14" s="16">
        <v>1263</v>
      </c>
      <c r="M14" s="17">
        <v>7.66</v>
      </c>
      <c r="N14" s="17">
        <v>93.3</v>
      </c>
      <c r="O14" s="17">
        <v>6.5000000000000002E-2</v>
      </c>
      <c r="P14" s="17">
        <v>5</v>
      </c>
      <c r="Q14" s="17">
        <v>44.1</v>
      </c>
      <c r="R14" s="17">
        <v>88.234999999999999</v>
      </c>
      <c r="S14" s="20">
        <v>20.7</v>
      </c>
      <c r="T14" s="20">
        <v>24.1</v>
      </c>
      <c r="U14" s="5">
        <v>460.00000000000006</v>
      </c>
      <c r="V14" s="5" t="s">
        <v>145</v>
      </c>
      <c r="W14" s="22">
        <v>2.723333333333263</v>
      </c>
      <c r="X14" s="22">
        <v>2.2633333333336245</v>
      </c>
      <c r="Y14" s="12">
        <v>83.108935128531812</v>
      </c>
      <c r="Z14" s="3">
        <v>8.6666666666666836E-2</v>
      </c>
      <c r="AA14" s="3">
        <v>2.0857142857142859</v>
      </c>
      <c r="AB14" s="3">
        <v>1.8904761904761902</v>
      </c>
      <c r="AC14" s="3">
        <v>0.90639269406392675</v>
      </c>
    </row>
    <row r="15" spans="1:29" x14ac:dyDescent="0.35">
      <c r="A15" s="2" t="s">
        <v>17</v>
      </c>
      <c r="B15" s="2" t="s">
        <v>18</v>
      </c>
      <c r="C15" s="13">
        <v>45035</v>
      </c>
      <c r="D15" s="2" t="s">
        <v>10</v>
      </c>
      <c r="E15" s="10">
        <v>0.46</v>
      </c>
      <c r="F15" s="10">
        <v>17.512</v>
      </c>
      <c r="G15" s="5">
        <v>0.55000000000000004</v>
      </c>
      <c r="H15" s="5">
        <v>7.12</v>
      </c>
      <c r="I15" s="10">
        <v>-361.1</v>
      </c>
      <c r="J15" s="6">
        <v>735</v>
      </c>
      <c r="K15" s="16">
        <v>6234.333333333333</v>
      </c>
      <c r="L15" s="16">
        <v>386.66666666666669</v>
      </c>
      <c r="M15" s="17">
        <v>10.9</v>
      </c>
      <c r="N15" s="17">
        <v>115.66666666666669</v>
      </c>
      <c r="O15" s="17">
        <v>2.3000000000000003E-2</v>
      </c>
      <c r="P15" s="17">
        <v>5</v>
      </c>
      <c r="Q15" s="17">
        <v>42.166666666666671</v>
      </c>
      <c r="R15" s="17">
        <v>110.64366666666669</v>
      </c>
      <c r="S15" s="20">
        <f>AVERAGE(13.6,13.6,13.9)</f>
        <v>13.700000000000001</v>
      </c>
      <c r="T15" s="20">
        <f>AVERAGE(16.4,16.4,16)</f>
        <v>16.266666666666666</v>
      </c>
      <c r="U15" s="5">
        <v>457</v>
      </c>
      <c r="V15" s="5" t="s">
        <v>146</v>
      </c>
      <c r="W15" s="22">
        <v>3.7199999999998568</v>
      </c>
      <c r="X15" s="22">
        <v>3.2433333333334722</v>
      </c>
      <c r="Y15" s="12">
        <v>87.186379928322495</v>
      </c>
      <c r="Z15" s="3">
        <v>0.14333333333333326</v>
      </c>
      <c r="AA15" s="3">
        <v>2.8227272727272728</v>
      </c>
      <c r="AB15" s="3">
        <v>2.622727272727273</v>
      </c>
      <c r="AC15" s="3">
        <v>0.92914653784219015</v>
      </c>
    </row>
    <row r="16" spans="1:29" x14ac:dyDescent="0.35">
      <c r="A16" s="2" t="s">
        <v>17</v>
      </c>
      <c r="B16" s="2" t="s">
        <v>18</v>
      </c>
      <c r="C16" s="13">
        <v>45035</v>
      </c>
      <c r="D16" s="2" t="s">
        <v>11</v>
      </c>
      <c r="E16" s="10">
        <v>0.92</v>
      </c>
      <c r="F16" s="10">
        <v>16.332999999999998</v>
      </c>
      <c r="G16" s="5">
        <v>0.61</v>
      </c>
      <c r="H16" s="5">
        <v>6.92</v>
      </c>
      <c r="I16" s="10">
        <v>-154.4</v>
      </c>
      <c r="J16" s="6">
        <v>792</v>
      </c>
      <c r="K16" s="16">
        <v>934</v>
      </c>
      <c r="L16" s="16">
        <v>360</v>
      </c>
      <c r="M16" s="17">
        <v>2.68</v>
      </c>
      <c r="N16" s="17">
        <v>87.6</v>
      </c>
      <c r="O16" s="17">
        <v>1.9E-2</v>
      </c>
      <c r="P16" s="17">
        <v>5</v>
      </c>
      <c r="Q16" s="17">
        <v>52.199999999999996</v>
      </c>
      <c r="R16" s="17">
        <v>82.580999999999989</v>
      </c>
      <c r="S16" s="20">
        <v>13.7</v>
      </c>
      <c r="T16" s="20">
        <v>17.2</v>
      </c>
      <c r="U16" s="5">
        <v>457.5</v>
      </c>
      <c r="V16" s="5" t="s">
        <v>147</v>
      </c>
      <c r="W16" s="22">
        <v>1.25161290322564</v>
      </c>
      <c r="X16" s="22">
        <v>0.94193548387106452</v>
      </c>
      <c r="Y16" s="12">
        <v>75.257731958780624</v>
      </c>
      <c r="Z16" s="3">
        <v>1.612903225806453E-2</v>
      </c>
      <c r="AA16" s="3">
        <v>0.6</v>
      </c>
      <c r="AB16" s="3">
        <v>0.51904761904761876</v>
      </c>
      <c r="AC16" s="3">
        <v>0.86507936507936467</v>
      </c>
    </row>
    <row r="17" spans="1:29" x14ac:dyDescent="0.35">
      <c r="A17" s="2" t="s">
        <v>19</v>
      </c>
      <c r="B17" s="2" t="s">
        <v>20</v>
      </c>
      <c r="C17" s="13">
        <v>45035</v>
      </c>
      <c r="D17" s="2" t="s">
        <v>9</v>
      </c>
      <c r="E17" s="10">
        <v>0</v>
      </c>
      <c r="F17" s="10">
        <v>15.496</v>
      </c>
      <c r="G17" s="5">
        <v>0.22</v>
      </c>
      <c r="H17" s="5">
        <v>8.2100000000000009</v>
      </c>
      <c r="I17" s="10">
        <v>-232</v>
      </c>
      <c r="J17" s="6">
        <v>1996</v>
      </c>
      <c r="K17" s="16">
        <v>5320</v>
      </c>
      <c r="L17" s="16">
        <v>769</v>
      </c>
      <c r="M17" s="17">
        <v>104</v>
      </c>
      <c r="N17" s="17">
        <v>308</v>
      </c>
      <c r="O17" s="17">
        <v>0.05</v>
      </c>
      <c r="P17" s="17">
        <v>5</v>
      </c>
      <c r="Q17" s="17">
        <v>251</v>
      </c>
      <c r="R17" s="17">
        <v>302.95</v>
      </c>
      <c r="S17" s="20">
        <v>55</v>
      </c>
      <c r="T17" s="20">
        <v>59.3</v>
      </c>
      <c r="U17" s="5">
        <v>449.5</v>
      </c>
      <c r="V17" s="5">
        <v>1142</v>
      </c>
      <c r="W17" s="22">
        <v>9.5488194444443639</v>
      </c>
      <c r="X17" s="22">
        <v>8.6002777777777766</v>
      </c>
      <c r="Y17" s="12">
        <v>90.07768947558759</v>
      </c>
      <c r="Z17" s="3">
        <v>0.11763888888888878</v>
      </c>
      <c r="AA17" s="3">
        <v>8.4218253968253975</v>
      </c>
      <c r="AB17" s="3">
        <v>7.9301587301587313</v>
      </c>
      <c r="AC17" s="3">
        <v>0.94161994063044818</v>
      </c>
    </row>
    <row r="18" spans="1:29" x14ac:dyDescent="0.35">
      <c r="A18" s="2" t="s">
        <v>19</v>
      </c>
      <c r="B18" s="2" t="s">
        <v>20</v>
      </c>
      <c r="C18" s="13">
        <v>45035</v>
      </c>
      <c r="D18" s="2" t="s">
        <v>10</v>
      </c>
      <c r="E18" s="10">
        <v>0.7</v>
      </c>
      <c r="F18" s="10">
        <v>15.478</v>
      </c>
      <c r="G18" s="5">
        <v>0.12</v>
      </c>
      <c r="H18" s="5">
        <v>8.26</v>
      </c>
      <c r="I18" s="10">
        <v>-247.9</v>
      </c>
      <c r="J18" s="6">
        <v>2001</v>
      </c>
      <c r="K18" s="16">
        <v>3144</v>
      </c>
      <c r="L18" s="16">
        <v>957</v>
      </c>
      <c r="M18" s="20">
        <v>26.400000000000002</v>
      </c>
      <c r="N18" s="17">
        <v>315</v>
      </c>
      <c r="O18" s="17">
        <v>8.7999999999999995E-2</v>
      </c>
      <c r="P18" s="17">
        <v>5</v>
      </c>
      <c r="Q18" s="17">
        <v>254</v>
      </c>
      <c r="R18" s="17">
        <v>309.91199999999998</v>
      </c>
      <c r="S18" s="20">
        <v>69.099999999999994</v>
      </c>
      <c r="T18" s="20">
        <v>67.8</v>
      </c>
      <c r="U18" s="5">
        <v>463.50000000000006</v>
      </c>
      <c r="V18" s="5">
        <v>463</v>
      </c>
      <c r="W18" s="22">
        <v>2.2833333333333408</v>
      </c>
      <c r="X18" s="22">
        <v>1.6933333333331764</v>
      </c>
      <c r="Y18" s="12">
        <v>74.16058394159873</v>
      </c>
      <c r="Z18" s="3">
        <v>6.6666666666663947E-3</v>
      </c>
      <c r="AA18" s="3">
        <v>1.5999999999999992</v>
      </c>
      <c r="AB18" s="3">
        <v>1.4545454545454546</v>
      </c>
      <c r="AC18" s="3">
        <v>0.90909090909090962</v>
      </c>
    </row>
    <row r="19" spans="1:29" x14ac:dyDescent="0.35">
      <c r="A19" s="2" t="s">
        <v>19</v>
      </c>
      <c r="B19" s="2" t="s">
        <v>20</v>
      </c>
      <c r="C19" s="13">
        <v>45035</v>
      </c>
      <c r="D19" s="2" t="s">
        <v>11</v>
      </c>
      <c r="E19" s="10">
        <v>1.39</v>
      </c>
      <c r="F19" s="10">
        <v>15.423</v>
      </c>
      <c r="G19" s="5">
        <v>7.0000000000000007E-2</v>
      </c>
      <c r="H19" s="5">
        <v>8.2799999999999994</v>
      </c>
      <c r="I19" s="10">
        <v>-260</v>
      </c>
      <c r="J19" s="6">
        <v>2007</v>
      </c>
      <c r="K19" s="16">
        <v>2379</v>
      </c>
      <c r="L19" s="16">
        <v>648</v>
      </c>
      <c r="M19" s="17">
        <v>6.41</v>
      </c>
      <c r="N19" s="17">
        <v>273</v>
      </c>
      <c r="O19" s="17">
        <v>4.2000000000000003E-2</v>
      </c>
      <c r="P19" s="17">
        <v>5</v>
      </c>
      <c r="Q19" s="17">
        <v>156</v>
      </c>
      <c r="R19" s="17">
        <v>267.95800000000003</v>
      </c>
      <c r="S19" s="20">
        <v>57.8</v>
      </c>
      <c r="T19" s="20">
        <v>58.6</v>
      </c>
      <c r="U19" s="5">
        <v>427.5</v>
      </c>
      <c r="V19" s="5">
        <v>275</v>
      </c>
      <c r="W19" s="22">
        <v>1.2655555555554088</v>
      </c>
      <c r="X19" s="22">
        <v>0.84222222222223309</v>
      </c>
      <c r="Y19" s="12">
        <v>66.669254987232378</v>
      </c>
      <c r="Z19" s="3">
        <v>6.6666666666665491E-3</v>
      </c>
      <c r="AA19" s="3">
        <v>0.51861111111111102</v>
      </c>
      <c r="AB19" s="3">
        <v>0.45767094017094007</v>
      </c>
      <c r="AC19" s="3">
        <v>0.88249351077417493</v>
      </c>
    </row>
    <row r="20" spans="1:29" x14ac:dyDescent="0.35">
      <c r="A20" s="2" t="s">
        <v>21</v>
      </c>
      <c r="B20" s="2" t="s">
        <v>23</v>
      </c>
      <c r="C20" s="13">
        <v>45042</v>
      </c>
      <c r="D20" s="2" t="s">
        <v>9</v>
      </c>
      <c r="E20" s="10">
        <v>0</v>
      </c>
      <c r="F20" s="10">
        <v>13.574</v>
      </c>
      <c r="G20" s="5">
        <v>0.31</v>
      </c>
      <c r="H20" s="5">
        <v>6.72</v>
      </c>
      <c r="I20" s="10">
        <v>-98</v>
      </c>
      <c r="J20" s="6">
        <v>974</v>
      </c>
      <c r="K20" s="16">
        <v>16660</v>
      </c>
      <c r="L20" s="16">
        <v>2120</v>
      </c>
      <c r="M20" s="17">
        <v>6.1</v>
      </c>
      <c r="N20" s="17">
        <v>462</v>
      </c>
      <c r="O20" s="17">
        <v>0.13800000000000001</v>
      </c>
      <c r="P20" s="17">
        <v>5</v>
      </c>
      <c r="Q20" s="17">
        <v>100</v>
      </c>
      <c r="R20" s="17">
        <v>456.86200000000002</v>
      </c>
      <c r="S20" s="20">
        <v>57.6</v>
      </c>
      <c r="T20" s="20">
        <v>59.7</v>
      </c>
      <c r="U20" s="5">
        <v>460.50000000000006</v>
      </c>
      <c r="V20" s="5">
        <v>1570</v>
      </c>
      <c r="W20" s="22">
        <v>8.5953643966545581</v>
      </c>
      <c r="X20" s="22">
        <v>7.864253285543608</v>
      </c>
      <c r="Y20" s="12">
        <v>91.53697121010218</v>
      </c>
      <c r="Z20" s="3">
        <v>9.7347670250895926E-2</v>
      </c>
      <c r="AA20" s="3">
        <v>8.1666666666666625</v>
      </c>
      <c r="AB20" s="3">
        <v>7.7222222222222188</v>
      </c>
      <c r="AC20" s="3">
        <v>0.94557823129251706</v>
      </c>
    </row>
    <row r="21" spans="1:29" x14ac:dyDescent="0.35">
      <c r="A21" s="2" t="s">
        <v>21</v>
      </c>
      <c r="B21" s="2" t="s">
        <v>23</v>
      </c>
      <c r="C21" s="13">
        <v>45042</v>
      </c>
      <c r="D21" s="2" t="s">
        <v>10</v>
      </c>
      <c r="E21" s="10">
        <v>0.7</v>
      </c>
      <c r="F21" s="10">
        <v>12.646000000000001</v>
      </c>
      <c r="G21" s="5">
        <v>0.14000000000000001</v>
      </c>
      <c r="H21" s="5">
        <v>6.66</v>
      </c>
      <c r="I21" s="10">
        <v>-126.4</v>
      </c>
      <c r="J21" s="6">
        <v>985</v>
      </c>
      <c r="K21" s="16">
        <v>18200</v>
      </c>
      <c r="L21" s="16">
        <v>2180</v>
      </c>
      <c r="M21" s="17">
        <v>5.34</v>
      </c>
      <c r="N21" s="17">
        <v>371</v>
      </c>
      <c r="O21" s="17">
        <v>8.6999999999999994E-2</v>
      </c>
      <c r="P21" s="17">
        <v>5</v>
      </c>
      <c r="Q21" s="17">
        <v>90.7</v>
      </c>
      <c r="R21" s="17">
        <v>365.91300000000001</v>
      </c>
      <c r="S21" s="20">
        <v>40.799999999999997</v>
      </c>
      <c r="T21" s="20">
        <v>45.7</v>
      </c>
      <c r="U21" s="5">
        <v>459.99999999999994</v>
      </c>
      <c r="V21" s="5">
        <v>1305</v>
      </c>
      <c r="W21" s="22">
        <v>11.606666666666854</v>
      </c>
      <c r="X21" s="22">
        <v>10.790000000000077</v>
      </c>
      <c r="Y21" s="12">
        <v>92.963813900056607</v>
      </c>
      <c r="Z21" s="3">
        <v>0.13666666666666641</v>
      </c>
      <c r="AA21" s="3">
        <v>9.2500000000000018</v>
      </c>
      <c r="AB21" s="3">
        <v>8.8499999999999961</v>
      </c>
      <c r="AC21" s="3">
        <v>0.9567567567567562</v>
      </c>
    </row>
    <row r="22" spans="1:29" x14ac:dyDescent="0.35">
      <c r="A22" s="2" t="s">
        <v>21</v>
      </c>
      <c r="B22" s="2" t="s">
        <v>23</v>
      </c>
      <c r="C22" s="13">
        <v>45042</v>
      </c>
      <c r="D22" s="2" t="s">
        <v>11</v>
      </c>
      <c r="E22" s="10">
        <v>1.41</v>
      </c>
      <c r="F22" s="10">
        <v>10.975</v>
      </c>
      <c r="G22" s="5">
        <v>0.09</v>
      </c>
      <c r="H22" s="5">
        <v>6.47</v>
      </c>
      <c r="I22" s="10">
        <v>-144.69999999999999</v>
      </c>
      <c r="J22" s="6">
        <v>1489</v>
      </c>
      <c r="K22" s="16">
        <v>14440</v>
      </c>
      <c r="L22" s="16">
        <v>990</v>
      </c>
      <c r="M22" s="17">
        <v>7.35</v>
      </c>
      <c r="N22" s="17">
        <v>499</v>
      </c>
      <c r="O22" s="17">
        <v>0.128</v>
      </c>
      <c r="P22" s="17">
        <v>5</v>
      </c>
      <c r="Q22" s="17">
        <v>94.9</v>
      </c>
      <c r="R22" s="17">
        <v>493.87200000000001</v>
      </c>
      <c r="S22" s="20">
        <v>48.6</v>
      </c>
      <c r="T22" s="20">
        <v>53.7</v>
      </c>
      <c r="U22" s="5">
        <v>461.49999999999994</v>
      </c>
      <c r="V22" s="5">
        <v>752</v>
      </c>
      <c r="W22" s="22">
        <v>8.3939393939394247</v>
      </c>
      <c r="X22" s="22">
        <v>7.1939393939396377</v>
      </c>
      <c r="Y22" s="12">
        <v>85.70397111913617</v>
      </c>
      <c r="Z22" s="3">
        <v>0.32424242424242472</v>
      </c>
      <c r="AA22" s="3">
        <v>8.8000000000000025</v>
      </c>
      <c r="AB22" s="3">
        <v>8.0000000000000071</v>
      </c>
      <c r="AC22" s="3">
        <v>0.90909090909090962</v>
      </c>
    </row>
    <row r="23" spans="1:29" x14ac:dyDescent="0.35">
      <c r="A23" s="2" t="s">
        <v>22</v>
      </c>
      <c r="B23" s="2" t="s">
        <v>24</v>
      </c>
      <c r="C23" s="13">
        <v>45042</v>
      </c>
      <c r="D23" s="2" t="s">
        <v>9</v>
      </c>
      <c r="E23" s="10">
        <v>0</v>
      </c>
      <c r="F23" s="10">
        <v>13.548999999999999</v>
      </c>
      <c r="G23" s="5">
        <v>0.42</v>
      </c>
      <c r="H23" s="5">
        <v>6.74</v>
      </c>
      <c r="I23" s="10">
        <v>-244</v>
      </c>
      <c r="J23" s="6">
        <v>775</v>
      </c>
      <c r="K23" s="16">
        <v>10880</v>
      </c>
      <c r="L23" s="16">
        <v>1246</v>
      </c>
      <c r="M23" s="17">
        <v>11.299999999999999</v>
      </c>
      <c r="N23" s="17">
        <v>328</v>
      </c>
      <c r="O23" s="17">
        <v>5.8999999999999997E-2</v>
      </c>
      <c r="P23" s="17">
        <v>5</v>
      </c>
      <c r="Q23" s="17">
        <v>57.1</v>
      </c>
      <c r="R23" s="17">
        <v>322.94099999999997</v>
      </c>
      <c r="S23" s="20">
        <v>16.3</v>
      </c>
      <c r="T23" s="20">
        <v>20.8</v>
      </c>
      <c r="U23" s="5">
        <v>467.5</v>
      </c>
      <c r="V23" s="5">
        <v>1163</v>
      </c>
      <c r="W23" s="22">
        <v>12.556249999999824</v>
      </c>
      <c r="X23" s="22">
        <v>11.812500000000004</v>
      </c>
      <c r="Y23" s="12">
        <v>94.076655052266162</v>
      </c>
      <c r="Z23" s="3">
        <v>0.19687499999999999</v>
      </c>
      <c r="AA23" s="3">
        <v>14.57142857142858</v>
      </c>
      <c r="AB23" s="3">
        <v>14.285714285714292</v>
      </c>
      <c r="AC23" s="3">
        <v>0.98039215686274495</v>
      </c>
    </row>
    <row r="24" spans="1:29" x14ac:dyDescent="0.35">
      <c r="A24" s="2" t="s">
        <v>22</v>
      </c>
      <c r="B24" s="2" t="s">
        <v>24</v>
      </c>
      <c r="C24" s="13">
        <v>45042</v>
      </c>
      <c r="D24" s="2" t="s">
        <v>10</v>
      </c>
      <c r="E24" s="10">
        <v>0.52</v>
      </c>
      <c r="F24" s="10">
        <v>12.964</v>
      </c>
      <c r="G24" s="5">
        <v>0.25</v>
      </c>
      <c r="H24" s="5">
        <v>6.44</v>
      </c>
      <c r="I24" s="10">
        <v>-322.8</v>
      </c>
      <c r="J24" s="6">
        <v>1430</v>
      </c>
      <c r="K24" s="16">
        <v>9200</v>
      </c>
      <c r="L24" s="16">
        <v>1130</v>
      </c>
      <c r="M24" s="17">
        <v>7.5</v>
      </c>
      <c r="N24" s="17">
        <v>240</v>
      </c>
      <c r="O24" s="17">
        <v>6.0999999999999999E-2</v>
      </c>
      <c r="P24" s="17">
        <v>5</v>
      </c>
      <c r="Q24" s="17">
        <v>58.7</v>
      </c>
      <c r="R24" s="17">
        <v>234.93899999999999</v>
      </c>
      <c r="S24" s="20">
        <v>18.399999999999999</v>
      </c>
      <c r="T24" s="20">
        <v>21.3</v>
      </c>
      <c r="U24" s="5">
        <v>464.49999999999994</v>
      </c>
      <c r="V24" s="5">
        <v>1058</v>
      </c>
      <c r="W24" s="22">
        <v>8.5146953405018166</v>
      </c>
      <c r="X24" s="22">
        <v>8.1449462365591234</v>
      </c>
      <c r="Y24" s="12">
        <v>95.654642197757084</v>
      </c>
      <c r="Z24" s="3">
        <v>6.254480286738362E-2</v>
      </c>
      <c r="AA24" s="3">
        <v>8.5391812865497041</v>
      </c>
      <c r="AB24" s="3">
        <v>8.3475633528265121</v>
      </c>
      <c r="AC24" s="3">
        <v>0.97756015157741005</v>
      </c>
    </row>
    <row r="25" spans="1:29" x14ac:dyDescent="0.35">
      <c r="A25" s="2" t="s">
        <v>22</v>
      </c>
      <c r="B25" s="2" t="s">
        <v>24</v>
      </c>
      <c r="C25" s="13">
        <v>45042</v>
      </c>
      <c r="D25" s="2" t="s">
        <v>11</v>
      </c>
      <c r="E25" s="10">
        <v>1.04</v>
      </c>
      <c r="F25" s="10">
        <v>11.018000000000001</v>
      </c>
      <c r="G25" s="5">
        <v>0.08</v>
      </c>
      <c r="H25" s="5">
        <v>6.53</v>
      </c>
      <c r="I25" s="10">
        <v>-675.1</v>
      </c>
      <c r="J25" s="6">
        <v>1568</v>
      </c>
      <c r="K25" s="16">
        <v>15760</v>
      </c>
      <c r="L25" s="16">
        <v>1004</v>
      </c>
      <c r="M25" s="17">
        <v>9.44</v>
      </c>
      <c r="N25" s="17">
        <v>467</v>
      </c>
      <c r="O25" s="17">
        <v>4.2999999999999997E-2</v>
      </c>
      <c r="P25" s="17">
        <v>5</v>
      </c>
      <c r="Q25" s="17">
        <v>34.200000000000003</v>
      </c>
      <c r="R25" s="17">
        <v>461.95699999999999</v>
      </c>
      <c r="S25" s="20">
        <v>19.399999999999999</v>
      </c>
      <c r="T25" s="20">
        <v>20.9</v>
      </c>
      <c r="U25" s="5">
        <v>462</v>
      </c>
      <c r="V25" s="5">
        <v>1292</v>
      </c>
      <c r="W25" s="22">
        <v>10.63333333333342</v>
      </c>
      <c r="X25" s="22">
        <v>10.229999999999961</v>
      </c>
      <c r="Y25" s="12">
        <v>96.206896551722991</v>
      </c>
      <c r="Z25" s="3">
        <v>0.1466666666666667</v>
      </c>
      <c r="AA25" s="3">
        <v>8.0999999999999961</v>
      </c>
      <c r="AB25" s="3">
        <v>7.9000000000000039</v>
      </c>
      <c r="AC25" s="3">
        <v>0.97530864197530964</v>
      </c>
    </row>
    <row r="26" spans="1:29" x14ac:dyDescent="0.35">
      <c r="A26" s="2" t="s">
        <v>28</v>
      </c>
      <c r="B26" s="2" t="s">
        <v>30</v>
      </c>
      <c r="C26" s="13">
        <v>45055</v>
      </c>
      <c r="D26" s="2" t="s">
        <v>9</v>
      </c>
      <c r="E26" s="10">
        <v>0</v>
      </c>
      <c r="F26" s="10">
        <v>18.806999999999999</v>
      </c>
      <c r="G26" s="5">
        <v>4.6849999999999996</v>
      </c>
      <c r="H26" s="5">
        <v>3.21</v>
      </c>
      <c r="I26" s="10">
        <v>227.7</v>
      </c>
      <c r="J26" s="6">
        <v>794</v>
      </c>
      <c r="K26" s="16">
        <v>194</v>
      </c>
      <c r="L26" s="16">
        <v>94.4</v>
      </c>
      <c r="M26" s="17">
        <v>0.1</v>
      </c>
      <c r="N26" s="17">
        <v>108.80000000000001</v>
      </c>
      <c r="O26" s="17">
        <v>1.4999999999999999E-2</v>
      </c>
      <c r="P26" s="17">
        <f>6.65*10</f>
        <v>66.5</v>
      </c>
      <c r="Q26" s="17">
        <v>28</v>
      </c>
      <c r="R26" s="17">
        <v>42.285000000000011</v>
      </c>
      <c r="S26" s="20">
        <v>26.3</v>
      </c>
      <c r="T26" s="20">
        <v>26.3</v>
      </c>
      <c r="U26" s="5">
        <v>7.9300000000000006</v>
      </c>
      <c r="V26" s="5">
        <v>25</v>
      </c>
      <c r="W26" s="22">
        <v>0.34516129032257842</v>
      </c>
      <c r="X26" s="22">
        <v>0.12903225806467383</v>
      </c>
      <c r="Y26" s="12">
        <v>37.383177570139388</v>
      </c>
      <c r="Z26" s="3">
        <v>0</v>
      </c>
      <c r="AA26" s="3">
        <v>3.3333333333333361E-2</v>
      </c>
      <c r="AB26" s="3">
        <v>4.3333333333334112E-2</v>
      </c>
      <c r="AC26" s="3">
        <v>1.3000000000000222</v>
      </c>
    </row>
    <row r="27" spans="1:29" x14ac:dyDescent="0.35">
      <c r="A27" s="2" t="s">
        <v>28</v>
      </c>
      <c r="B27" s="2" t="s">
        <v>30</v>
      </c>
      <c r="C27" s="13">
        <v>45055</v>
      </c>
      <c r="D27" s="2" t="s">
        <v>10</v>
      </c>
      <c r="E27" s="10">
        <v>1.0549999999999999</v>
      </c>
      <c r="F27" s="10">
        <v>18.783000000000001</v>
      </c>
      <c r="G27" s="5">
        <v>4.4450000000000003</v>
      </c>
      <c r="H27" s="5">
        <v>2.97</v>
      </c>
      <c r="I27" s="10">
        <v>291.10000000000002</v>
      </c>
      <c r="J27" s="6">
        <v>825</v>
      </c>
      <c r="K27" s="16">
        <v>307</v>
      </c>
      <c r="L27" s="16">
        <v>94.9</v>
      </c>
      <c r="M27" s="17">
        <v>0.1</v>
      </c>
      <c r="N27" s="17">
        <v>104.80000000000001</v>
      </c>
      <c r="O27" s="17">
        <v>1.4999999999999999E-2</v>
      </c>
      <c r="P27" s="17">
        <f>6.67*10</f>
        <v>66.7</v>
      </c>
      <c r="Q27" s="17">
        <v>36</v>
      </c>
      <c r="R27" s="17">
        <v>38.085000000000008</v>
      </c>
      <c r="S27" s="20">
        <v>25.8</v>
      </c>
      <c r="T27" s="20">
        <v>25.5</v>
      </c>
      <c r="U27" s="5">
        <v>7.38</v>
      </c>
      <c r="V27" s="5">
        <v>25</v>
      </c>
      <c r="W27" s="22">
        <v>0.46999999999997044</v>
      </c>
      <c r="X27" s="22">
        <v>0.25333333333321661</v>
      </c>
      <c r="Y27" s="12">
        <v>53.90070921983672</v>
      </c>
      <c r="Z27" s="3">
        <v>6.6666666666668579E-3</v>
      </c>
      <c r="AA27" s="3">
        <v>6.3333333333333755E-2</v>
      </c>
      <c r="AB27" s="3">
        <v>8.3333333333333412E-2</v>
      </c>
      <c r="AC27" s="3">
        <v>1.3157894736842031</v>
      </c>
    </row>
    <row r="28" spans="1:29" x14ac:dyDescent="0.35">
      <c r="A28" s="2" t="s">
        <v>28</v>
      </c>
      <c r="B28" s="2" t="s">
        <v>30</v>
      </c>
      <c r="C28" s="13">
        <v>45055</v>
      </c>
      <c r="D28" s="2" t="s">
        <v>11</v>
      </c>
      <c r="E28" s="10">
        <v>2.11</v>
      </c>
      <c r="F28" s="10">
        <v>18.806999999999999</v>
      </c>
      <c r="G28" s="5">
        <v>0.75900000000000001</v>
      </c>
      <c r="H28" s="5">
        <v>3.13</v>
      </c>
      <c r="I28" s="10">
        <v>289.8</v>
      </c>
      <c r="J28" s="6">
        <v>691</v>
      </c>
      <c r="K28" s="16">
        <v>12910</v>
      </c>
      <c r="L28" s="16">
        <v>236</v>
      </c>
      <c r="M28" s="17">
        <v>5.2700000000000005</v>
      </c>
      <c r="N28" s="17">
        <v>1568</v>
      </c>
      <c r="O28" s="17">
        <v>1.4999999999999999E-2</v>
      </c>
      <c r="P28" s="17">
        <v>5</v>
      </c>
      <c r="Q28" s="17">
        <v>39.799999999999997</v>
      </c>
      <c r="R28" s="17">
        <v>1562.9849999999999</v>
      </c>
      <c r="S28" s="20">
        <v>37.1</v>
      </c>
      <c r="T28" s="20">
        <v>6</v>
      </c>
      <c r="U28" s="5">
        <v>455.00000000000006</v>
      </c>
      <c r="V28" s="5">
        <v>1500</v>
      </c>
      <c r="W28" s="22">
        <v>19.338333333333207</v>
      </c>
      <c r="X28" s="22">
        <v>17.429999999999762</v>
      </c>
      <c r="Y28" s="12">
        <v>90.132547049452725</v>
      </c>
      <c r="Z28" s="3">
        <v>1.6672222222222217</v>
      </c>
      <c r="AA28" s="3">
        <v>18.011111111111095</v>
      </c>
      <c r="AB28" s="3">
        <v>17.044444444444427</v>
      </c>
      <c r="AC28" s="3">
        <v>0.94632942628007388</v>
      </c>
    </row>
    <row r="29" spans="1:29" x14ac:dyDescent="0.35">
      <c r="A29" s="2" t="s">
        <v>29</v>
      </c>
      <c r="B29" s="2" t="s">
        <v>31</v>
      </c>
      <c r="C29" s="13">
        <v>45055</v>
      </c>
      <c r="D29" s="2" t="s">
        <v>9</v>
      </c>
      <c r="E29" s="10">
        <v>0</v>
      </c>
      <c r="F29" s="10">
        <v>16.094999999999999</v>
      </c>
      <c r="G29" s="5">
        <v>1.7170000000000001</v>
      </c>
      <c r="H29" s="5">
        <v>7.02</v>
      </c>
      <c r="I29" s="10">
        <v>140.4</v>
      </c>
      <c r="J29" s="6">
        <v>572</v>
      </c>
      <c r="K29" s="16">
        <v>23313.333333333336</v>
      </c>
      <c r="L29" s="16">
        <v>743.33333333333326</v>
      </c>
      <c r="M29" s="17">
        <v>16.233333333333334</v>
      </c>
      <c r="N29" s="17">
        <v>879.33333333333337</v>
      </c>
      <c r="O29" s="17">
        <v>2.1000000000000001E-2</v>
      </c>
      <c r="P29" s="17">
        <v>5</v>
      </c>
      <c r="Q29" s="17">
        <v>104</v>
      </c>
      <c r="R29" s="17">
        <v>874.31233333333341</v>
      </c>
      <c r="S29" s="20">
        <v>38.700000000000003</v>
      </c>
      <c r="T29" s="20">
        <v>24.8</v>
      </c>
      <c r="U29" s="5">
        <v>924</v>
      </c>
      <c r="V29" s="5" t="s">
        <v>148</v>
      </c>
      <c r="W29" s="22">
        <v>17.812903225806423</v>
      </c>
      <c r="X29" s="22">
        <v>16.070967741935391</v>
      </c>
      <c r="Y29" s="12">
        <v>90.220934444041632</v>
      </c>
      <c r="Z29" s="3">
        <v>0.93225806451612836</v>
      </c>
      <c r="AA29" s="3">
        <v>15.999999999999982</v>
      </c>
      <c r="AB29" s="3">
        <v>14.999999999999975</v>
      </c>
      <c r="AC29" s="3">
        <v>0.93749999999999944</v>
      </c>
    </row>
    <row r="30" spans="1:29" x14ac:dyDescent="0.35">
      <c r="A30" s="2" t="s">
        <v>29</v>
      </c>
      <c r="B30" s="2" t="s">
        <v>31</v>
      </c>
      <c r="C30" s="13">
        <v>45055</v>
      </c>
      <c r="D30" s="2" t="s">
        <v>10</v>
      </c>
      <c r="E30" s="10">
        <v>0.45</v>
      </c>
      <c r="F30" s="10">
        <v>15.948</v>
      </c>
      <c r="G30" s="5">
        <v>2.1629999999999998</v>
      </c>
      <c r="H30" s="5">
        <v>6.75</v>
      </c>
      <c r="I30" s="10">
        <v>-111.7</v>
      </c>
      <c r="J30" s="6">
        <v>681</v>
      </c>
      <c r="K30" s="16">
        <v>744</v>
      </c>
      <c r="L30" s="16">
        <v>422</v>
      </c>
      <c r="M30" s="17">
        <v>0.1</v>
      </c>
      <c r="N30" s="17">
        <v>22</v>
      </c>
      <c r="O30" s="17">
        <v>2.8000000000000001E-2</v>
      </c>
      <c r="P30" s="17">
        <v>5</v>
      </c>
      <c r="Q30" s="17">
        <v>133</v>
      </c>
      <c r="R30" s="17">
        <v>16.972000000000001</v>
      </c>
      <c r="S30" s="20">
        <v>32.6</v>
      </c>
      <c r="T30" s="20">
        <v>33.700000000000003</v>
      </c>
      <c r="U30" s="5">
        <v>400</v>
      </c>
      <c r="V30" s="5" t="s">
        <v>149</v>
      </c>
      <c r="W30" s="22">
        <v>1.4549999999997472</v>
      </c>
      <c r="X30" s="22">
        <v>1.1883333333329915</v>
      </c>
      <c r="Y30" s="12">
        <v>81.465865217954033</v>
      </c>
      <c r="Z30" s="3">
        <v>1.5000000000000199E-2</v>
      </c>
      <c r="AA30" s="3">
        <v>6.6666666666659324E-2</v>
      </c>
      <c r="AB30" s="3">
        <v>5.9999999999999901E-2</v>
      </c>
      <c r="AC30" s="3">
        <v>0.90000000000009761</v>
      </c>
    </row>
    <row r="31" spans="1:29" x14ac:dyDescent="0.35">
      <c r="A31" s="2" t="s">
        <v>29</v>
      </c>
      <c r="B31" s="2" t="s">
        <v>31</v>
      </c>
      <c r="C31" s="13">
        <v>45055</v>
      </c>
      <c r="D31" s="2" t="s">
        <v>11</v>
      </c>
      <c r="E31" s="10">
        <v>1.92</v>
      </c>
      <c r="F31" s="10">
        <v>15.167</v>
      </c>
      <c r="G31" s="5">
        <v>0.106</v>
      </c>
      <c r="H31" s="5">
        <v>6.43</v>
      </c>
      <c r="I31" s="10">
        <v>-174.5</v>
      </c>
      <c r="J31" s="6">
        <v>1166</v>
      </c>
      <c r="K31" s="16">
        <v>23740</v>
      </c>
      <c r="L31" s="16">
        <v>1192</v>
      </c>
      <c r="M31" s="17">
        <v>14.2</v>
      </c>
      <c r="N31" s="17">
        <v>1330</v>
      </c>
      <c r="O31" s="17">
        <v>1.4999999999999999E-2</v>
      </c>
      <c r="P31" s="17">
        <v>5</v>
      </c>
      <c r="Q31" s="17">
        <v>96.300000000000011</v>
      </c>
      <c r="R31" s="17">
        <v>1324.9849999999999</v>
      </c>
      <c r="S31" s="20">
        <v>48.3</v>
      </c>
      <c r="T31" s="20">
        <v>48.9</v>
      </c>
      <c r="U31" s="5">
        <v>877</v>
      </c>
      <c r="V31" s="5" t="s">
        <v>150</v>
      </c>
      <c r="W31" s="22">
        <v>27.430000000000138</v>
      </c>
      <c r="X31" s="22">
        <v>23.886666666666656</v>
      </c>
      <c r="Y31" s="12">
        <v>87.082270020658171</v>
      </c>
      <c r="Z31" s="3">
        <v>2.2433333333333332</v>
      </c>
      <c r="AA31" s="3">
        <v>25.2</v>
      </c>
      <c r="AB31" s="3">
        <v>25.79999999999999</v>
      </c>
      <c r="AC31" s="3">
        <v>1.0238095238095235</v>
      </c>
    </row>
    <row r="32" spans="1:29" x14ac:dyDescent="0.35">
      <c r="A32" s="2" t="s">
        <v>37</v>
      </c>
      <c r="B32" s="2" t="s">
        <v>35</v>
      </c>
      <c r="C32" s="13">
        <v>45071</v>
      </c>
      <c r="D32" s="2" t="s">
        <v>10</v>
      </c>
      <c r="E32" s="10">
        <v>0</v>
      </c>
      <c r="F32" s="10">
        <v>18.263000000000002</v>
      </c>
      <c r="G32" s="5">
        <v>1.413</v>
      </c>
      <c r="H32" s="5">
        <v>7.28</v>
      </c>
      <c r="I32" s="10">
        <v>-205.1</v>
      </c>
      <c r="J32" s="6">
        <v>1239</v>
      </c>
      <c r="K32" s="16">
        <v>573</v>
      </c>
      <c r="L32" s="16">
        <v>302</v>
      </c>
      <c r="M32" s="17">
        <v>0.24099999999999999</v>
      </c>
      <c r="N32" s="17">
        <v>117</v>
      </c>
      <c r="O32" s="17">
        <v>1.4999999999999999E-2</v>
      </c>
      <c r="P32" s="17">
        <v>5</v>
      </c>
      <c r="Q32" s="17">
        <v>95.1</v>
      </c>
      <c r="R32" s="17">
        <v>111.985</v>
      </c>
      <c r="S32" s="20">
        <v>30.4</v>
      </c>
      <c r="T32" s="20">
        <v>30</v>
      </c>
      <c r="U32" s="5">
        <v>255.99999999999994</v>
      </c>
      <c r="V32" s="5">
        <v>57.7</v>
      </c>
      <c r="W32" s="22">
        <v>4.9709677419354739</v>
      </c>
      <c r="X32" s="22">
        <v>4.3741935483869874</v>
      </c>
      <c r="Y32" s="12">
        <v>87.994808565864304</v>
      </c>
      <c r="Z32" s="3">
        <v>9.0322580645161202E-2</v>
      </c>
      <c r="AA32" s="3">
        <v>4.2000000000000011</v>
      </c>
      <c r="AB32" s="3">
        <v>3.9099999999999993</v>
      </c>
      <c r="AC32" s="3">
        <v>0.93095238095238053</v>
      </c>
    </row>
    <row r="33" spans="1:29" x14ac:dyDescent="0.35">
      <c r="A33" s="2" t="s">
        <v>38</v>
      </c>
      <c r="B33" s="2" t="s">
        <v>36</v>
      </c>
      <c r="C33" s="13">
        <v>45071</v>
      </c>
      <c r="D33" s="2" t="s">
        <v>9</v>
      </c>
      <c r="E33" s="10">
        <v>0</v>
      </c>
      <c r="F33" s="10">
        <v>18.599</v>
      </c>
      <c r="G33" s="5">
        <v>0.48699999999999999</v>
      </c>
      <c r="H33" s="5">
        <v>7.21</v>
      </c>
      <c r="I33" s="10">
        <v>-206.6</v>
      </c>
      <c r="J33" s="6">
        <v>877</v>
      </c>
      <c r="K33" s="16">
        <v>8365</v>
      </c>
      <c r="L33" s="16">
        <v>405</v>
      </c>
      <c r="M33" s="17">
        <v>3.06</v>
      </c>
      <c r="N33" s="17">
        <v>217</v>
      </c>
      <c r="O33" s="17">
        <v>2.3E-2</v>
      </c>
      <c r="P33" s="17">
        <v>5</v>
      </c>
      <c r="Q33" s="17">
        <v>78.600000000000009</v>
      </c>
      <c r="R33" s="17">
        <v>211.977</v>
      </c>
      <c r="S33" s="20">
        <v>25.9</v>
      </c>
      <c r="T33" s="20">
        <v>29.1</v>
      </c>
      <c r="U33" s="5">
        <v>903.67</v>
      </c>
      <c r="V33" s="5">
        <v>677</v>
      </c>
      <c r="W33" s="22">
        <v>2.9612903225803908</v>
      </c>
      <c r="X33" s="22">
        <v>2.5870967741932493</v>
      </c>
      <c r="Y33" s="12">
        <v>87.363834422655358</v>
      </c>
      <c r="Z33" s="3">
        <v>3.8709677419354153E-2</v>
      </c>
      <c r="AA33" s="3">
        <v>2.57</v>
      </c>
      <c r="AB33" s="3">
        <v>2.4499999999999993</v>
      </c>
      <c r="AC33" s="3">
        <v>0.95330739299610878</v>
      </c>
    </row>
    <row r="34" spans="1:29" x14ac:dyDescent="0.35">
      <c r="A34" s="2" t="s">
        <v>38</v>
      </c>
      <c r="B34" s="2" t="s">
        <v>36</v>
      </c>
      <c r="C34" s="13">
        <v>45071</v>
      </c>
      <c r="D34" s="2" t="s">
        <v>10</v>
      </c>
      <c r="E34" s="10">
        <v>0.55000000000000004</v>
      </c>
      <c r="F34" s="10">
        <v>17.498999999999999</v>
      </c>
      <c r="G34" s="5">
        <v>0.22500000000000001</v>
      </c>
      <c r="H34" s="5">
        <v>7.32</v>
      </c>
      <c r="I34" s="10">
        <v>-226</v>
      </c>
      <c r="J34" s="6">
        <v>1224</v>
      </c>
      <c r="K34" s="16">
        <v>6652</v>
      </c>
      <c r="L34" s="16">
        <v>317</v>
      </c>
      <c r="M34" s="17">
        <v>2</v>
      </c>
      <c r="N34" s="17">
        <v>179</v>
      </c>
      <c r="O34" s="17">
        <v>1.7999999999999999E-2</v>
      </c>
      <c r="P34" s="17">
        <v>5</v>
      </c>
      <c r="Q34" s="17">
        <v>102</v>
      </c>
      <c r="R34" s="17">
        <v>173.982</v>
      </c>
      <c r="S34" s="20">
        <v>35.6</v>
      </c>
      <c r="T34" s="20">
        <v>34.9</v>
      </c>
      <c r="U34" s="5">
        <v>886.99999999999989</v>
      </c>
      <c r="V34" s="5">
        <v>250</v>
      </c>
      <c r="W34" s="22">
        <v>1.2966666666669211</v>
      </c>
      <c r="X34" s="22">
        <v>1.0311111111112343</v>
      </c>
      <c r="Y34" s="12">
        <v>79.475781421561408</v>
      </c>
      <c r="Z34" s="3">
        <v>1.111111111111112E-2</v>
      </c>
      <c r="AA34" s="3">
        <v>0.82915032679738543</v>
      </c>
      <c r="AB34" s="3">
        <v>0.82104575163398719</v>
      </c>
      <c r="AC34" s="3">
        <v>0.99022544537285251</v>
      </c>
    </row>
    <row r="35" spans="1:29" x14ac:dyDescent="0.35">
      <c r="A35" s="2" t="s">
        <v>38</v>
      </c>
      <c r="B35" s="2" t="s">
        <v>36</v>
      </c>
      <c r="C35" s="13">
        <v>45071</v>
      </c>
      <c r="D35" s="2" t="s">
        <v>11</v>
      </c>
      <c r="E35" s="10">
        <v>1.1499999999999999</v>
      </c>
      <c r="F35" s="10">
        <v>14.654</v>
      </c>
      <c r="G35" s="5">
        <v>0.157</v>
      </c>
      <c r="H35" s="5">
        <v>7.04</v>
      </c>
      <c r="I35" s="10">
        <v>-227.4</v>
      </c>
      <c r="J35" s="6">
        <v>1266</v>
      </c>
      <c r="K35" s="16">
        <v>3029.5</v>
      </c>
      <c r="L35" s="16">
        <v>280.5</v>
      </c>
      <c r="M35" s="17">
        <v>0.745</v>
      </c>
      <c r="N35" s="17">
        <v>128</v>
      </c>
      <c r="O35" s="17">
        <v>4.1000000000000002E-2</v>
      </c>
      <c r="P35" s="17">
        <v>5</v>
      </c>
      <c r="Q35" s="17">
        <v>101</v>
      </c>
      <c r="R35" s="17">
        <v>122.959</v>
      </c>
      <c r="S35" s="20">
        <v>33</v>
      </c>
      <c r="T35" s="20">
        <v>35</v>
      </c>
      <c r="U35" s="5">
        <v>826</v>
      </c>
      <c r="V35" s="5">
        <v>110</v>
      </c>
      <c r="W35" s="22">
        <v>0.74666666666634762</v>
      </c>
      <c r="X35" s="22">
        <v>0.2633333333330749</v>
      </c>
      <c r="Y35" s="12">
        <v>35.267857142837599</v>
      </c>
      <c r="Z35" s="3">
        <v>1.3333333333332789E-2</v>
      </c>
      <c r="AA35" s="3">
        <v>0.10322580645161228</v>
      </c>
      <c r="AB35" s="3">
        <v>0.1</v>
      </c>
      <c r="AC35" s="3">
        <v>0.96875000000000588</v>
      </c>
    </row>
    <row r="36" spans="1:29" x14ac:dyDescent="0.35">
      <c r="A36" s="2" t="s">
        <v>39</v>
      </c>
      <c r="B36" s="2" t="s">
        <v>40</v>
      </c>
      <c r="C36" s="13">
        <v>45077</v>
      </c>
      <c r="D36" s="2" t="s">
        <v>9</v>
      </c>
      <c r="E36" s="10">
        <v>0</v>
      </c>
      <c r="F36" s="10">
        <v>18.672999999999998</v>
      </c>
      <c r="G36" s="5">
        <v>0.878</v>
      </c>
      <c r="H36" s="5">
        <v>7.34</v>
      </c>
      <c r="I36" s="10">
        <v>-222.8</v>
      </c>
      <c r="J36" s="6">
        <v>1221</v>
      </c>
      <c r="K36" s="16">
        <v>623</v>
      </c>
      <c r="L36" s="16">
        <v>325</v>
      </c>
      <c r="M36" s="17">
        <v>0.34599999999999997</v>
      </c>
      <c r="N36" s="17">
        <v>98.3</v>
      </c>
      <c r="O36" s="17">
        <v>1.4999999999999999E-2</v>
      </c>
      <c r="P36" s="17">
        <v>5</v>
      </c>
      <c r="Q36" s="17">
        <v>82.2</v>
      </c>
      <c r="R36" s="17">
        <v>93.284999999999997</v>
      </c>
      <c r="S36" s="20">
        <v>17.600000000000001</v>
      </c>
      <c r="T36" s="20">
        <v>18.5</v>
      </c>
      <c r="U36" s="5">
        <v>187.99999999999997</v>
      </c>
      <c r="V36" s="5" t="s">
        <v>151</v>
      </c>
      <c r="W36" s="22">
        <v>1.1333333333335343</v>
      </c>
      <c r="X36" s="22">
        <v>0.36666666666699638</v>
      </c>
      <c r="Y36" s="12">
        <v>32.352941176493943</v>
      </c>
      <c r="Z36" s="3">
        <v>6.6666666666668579E-3</v>
      </c>
      <c r="AA36" s="3">
        <v>0.12903225806451624</v>
      </c>
      <c r="AB36" s="3">
        <v>0.12903225806451624</v>
      </c>
      <c r="AC36" s="3">
        <v>1</v>
      </c>
    </row>
    <row r="37" spans="1:29" x14ac:dyDescent="0.35">
      <c r="A37" s="2" t="s">
        <v>39</v>
      </c>
      <c r="B37" s="2" t="s">
        <v>40</v>
      </c>
      <c r="C37" s="13">
        <v>45077</v>
      </c>
      <c r="D37" s="2" t="s">
        <v>10</v>
      </c>
      <c r="E37" s="10">
        <v>0.94</v>
      </c>
      <c r="F37" s="10">
        <v>15.478</v>
      </c>
      <c r="G37" s="5">
        <v>0.317</v>
      </c>
      <c r="H37" s="5">
        <v>7.02</v>
      </c>
      <c r="I37" s="10">
        <v>-232.5</v>
      </c>
      <c r="J37" s="6">
        <v>1400</v>
      </c>
      <c r="K37" s="16">
        <v>559</v>
      </c>
      <c r="L37" s="16">
        <v>378</v>
      </c>
      <c r="M37" s="17">
        <v>0.46</v>
      </c>
      <c r="N37" s="17">
        <v>104</v>
      </c>
      <c r="O37" s="17">
        <v>1.7999999999999999E-2</v>
      </c>
      <c r="P37" s="17">
        <v>5</v>
      </c>
      <c r="Q37" s="17">
        <v>84.2</v>
      </c>
      <c r="R37" s="17">
        <v>98.981999999999999</v>
      </c>
      <c r="S37" s="20">
        <v>18.100000000000001</v>
      </c>
      <c r="T37" s="20">
        <v>19</v>
      </c>
      <c r="U37" s="5">
        <v>171.00000000000009</v>
      </c>
      <c r="V37" s="5" t="s">
        <v>152</v>
      </c>
      <c r="W37" s="22">
        <v>1.0933333333336275</v>
      </c>
      <c r="X37" s="22">
        <v>0.38333333333326891</v>
      </c>
      <c r="Y37" s="12">
        <v>35.060975609740773</v>
      </c>
      <c r="Z37" s="3">
        <v>2.6666666666667432E-2</v>
      </c>
      <c r="AA37" s="3">
        <v>0.11333333333333334</v>
      </c>
      <c r="AB37" s="3">
        <v>1.0999999999999999E-2</v>
      </c>
      <c r="AC37" s="3">
        <v>9.7058823529411753E-2</v>
      </c>
    </row>
    <row r="38" spans="1:29" x14ac:dyDescent="0.35">
      <c r="A38" s="2" t="s">
        <v>39</v>
      </c>
      <c r="B38" s="2" t="s">
        <v>40</v>
      </c>
      <c r="C38" s="13">
        <v>45077</v>
      </c>
      <c r="D38" s="2" t="s">
        <v>11</v>
      </c>
      <c r="E38" s="10">
        <v>1.88</v>
      </c>
      <c r="F38" s="10">
        <v>14.343</v>
      </c>
      <c r="G38" s="5">
        <v>0.32300000000000001</v>
      </c>
      <c r="H38" s="5">
        <v>6.81</v>
      </c>
      <c r="I38" s="10">
        <v>-236.8</v>
      </c>
      <c r="J38" s="6">
        <v>2650</v>
      </c>
      <c r="K38" s="18">
        <v>1358</v>
      </c>
      <c r="L38" s="16">
        <v>461</v>
      </c>
      <c r="M38" s="17">
        <v>2</v>
      </c>
      <c r="N38" s="17">
        <v>189</v>
      </c>
      <c r="O38" s="17">
        <v>2.1999999999999999E-2</v>
      </c>
      <c r="P38" s="17">
        <v>5</v>
      </c>
      <c r="Q38" s="17">
        <v>101</v>
      </c>
      <c r="R38" s="17">
        <v>183.97800000000001</v>
      </c>
      <c r="S38" s="20">
        <v>28.2</v>
      </c>
      <c r="T38" s="20">
        <v>28.3</v>
      </c>
      <c r="U38" s="5">
        <v>314.99999999999994</v>
      </c>
      <c r="V38" s="5" t="s">
        <v>153</v>
      </c>
      <c r="W38" s="22">
        <v>1.4544444444442524</v>
      </c>
      <c r="X38" s="22">
        <v>0.67777777777754034</v>
      </c>
      <c r="Y38" s="12">
        <v>46.361533749345199</v>
      </c>
      <c r="Z38" s="3">
        <v>3.4444444444444354E-2</v>
      </c>
      <c r="AA38" s="3">
        <v>0.62222222222222279</v>
      </c>
      <c r="AB38" s="3">
        <v>0.56666666666666687</v>
      </c>
      <c r="AC38" s="3">
        <v>0.91071428571428525</v>
      </c>
    </row>
    <row r="39" spans="1:29" x14ac:dyDescent="0.35">
      <c r="A39" s="2" t="s">
        <v>41</v>
      </c>
      <c r="B39" s="2" t="s">
        <v>42</v>
      </c>
      <c r="C39" s="13">
        <v>45077</v>
      </c>
      <c r="D39" s="2" t="s">
        <v>9</v>
      </c>
      <c r="E39" s="10">
        <v>0</v>
      </c>
      <c r="F39" s="10">
        <v>17.370999999999999</v>
      </c>
      <c r="G39" s="5">
        <v>3.7570000000000001</v>
      </c>
      <c r="H39" s="5">
        <v>7.23</v>
      </c>
      <c r="I39" s="10">
        <v>-214.8</v>
      </c>
      <c r="J39" s="6">
        <v>960</v>
      </c>
      <c r="K39" s="16">
        <v>12729</v>
      </c>
      <c r="L39" s="16">
        <v>862</v>
      </c>
      <c r="M39" s="17">
        <v>2</v>
      </c>
      <c r="N39" s="17">
        <v>202</v>
      </c>
      <c r="O39" s="17">
        <v>7.5999999999999998E-2</v>
      </c>
      <c r="P39" s="17">
        <v>5</v>
      </c>
      <c r="Q39" s="17">
        <v>58</v>
      </c>
      <c r="R39" s="17">
        <v>196.92400000000001</v>
      </c>
      <c r="S39" s="20">
        <v>30.2</v>
      </c>
      <c r="T39" s="20">
        <v>31.1</v>
      </c>
      <c r="U39" s="5">
        <v>913.99999999999989</v>
      </c>
      <c r="V39" s="5" t="s">
        <v>159</v>
      </c>
      <c r="W39" s="22">
        <v>6.2937499999997648</v>
      </c>
      <c r="X39" s="22">
        <v>5.981250000000049</v>
      </c>
      <c r="Y39" s="12">
        <v>95.034756703082778</v>
      </c>
      <c r="Z39" s="3">
        <v>9.3749999999998349E-3</v>
      </c>
      <c r="AA39" s="3">
        <v>3.1399999999999983</v>
      </c>
      <c r="AB39" s="3">
        <v>3.0799999999999992</v>
      </c>
      <c r="AC39" s="3">
        <v>0.98089171974522316</v>
      </c>
    </row>
    <row r="40" spans="1:29" x14ac:dyDescent="0.35">
      <c r="A40" s="2" t="s">
        <v>41</v>
      </c>
      <c r="B40" s="2" t="s">
        <v>42</v>
      </c>
      <c r="C40" s="13">
        <v>45077</v>
      </c>
      <c r="D40" s="2" t="s">
        <v>10</v>
      </c>
      <c r="E40" s="10">
        <v>0.52</v>
      </c>
      <c r="F40" s="10">
        <v>16.986000000000001</v>
      </c>
      <c r="G40" s="5">
        <v>2.7269999999999999</v>
      </c>
      <c r="H40" s="5">
        <v>7.2</v>
      </c>
      <c r="I40" s="10">
        <v>-231.8</v>
      </c>
      <c r="J40" s="6">
        <v>1019</v>
      </c>
      <c r="K40" s="16">
        <v>2784</v>
      </c>
      <c r="L40" s="16">
        <v>493</v>
      </c>
      <c r="M40" s="17">
        <v>1.68</v>
      </c>
      <c r="N40" s="17">
        <v>174</v>
      </c>
      <c r="O40" s="17">
        <v>2.5999999999999999E-2</v>
      </c>
      <c r="P40" s="17">
        <v>5</v>
      </c>
      <c r="Q40" s="17">
        <v>56</v>
      </c>
      <c r="R40" s="17">
        <v>168.97399999999999</v>
      </c>
      <c r="S40" s="20">
        <v>29.4</v>
      </c>
      <c r="T40" s="20">
        <v>32.1</v>
      </c>
      <c r="U40" s="5">
        <v>671.99999999999989</v>
      </c>
      <c r="V40" s="5" t="s">
        <v>160</v>
      </c>
      <c r="W40" s="22">
        <v>2.1166666666663523</v>
      </c>
      <c r="X40" s="22">
        <v>1.6766666666664303</v>
      </c>
      <c r="Y40" s="12">
        <v>79.212598425197442</v>
      </c>
      <c r="Z40" s="3">
        <v>0</v>
      </c>
      <c r="AA40" s="3">
        <v>1.2375000000000007</v>
      </c>
      <c r="AB40" s="3">
        <v>1.1937500000000003</v>
      </c>
      <c r="AC40" s="3">
        <v>0.96464646464646431</v>
      </c>
    </row>
    <row r="41" spans="1:29" x14ac:dyDescent="0.35">
      <c r="A41" s="2" t="s">
        <v>41</v>
      </c>
      <c r="B41" s="2" t="s">
        <v>42</v>
      </c>
      <c r="C41" s="13">
        <v>45077</v>
      </c>
      <c r="D41" s="2" t="s">
        <v>11</v>
      </c>
      <c r="E41" s="10">
        <v>1.04</v>
      </c>
      <c r="F41" s="10">
        <v>15.112</v>
      </c>
      <c r="G41" s="5">
        <v>0.25700000000000001</v>
      </c>
      <c r="H41" s="5">
        <v>7.05</v>
      </c>
      <c r="I41" s="10">
        <v>-240.8</v>
      </c>
      <c r="J41" s="6">
        <v>1077</v>
      </c>
      <c r="K41" s="16">
        <v>4563</v>
      </c>
      <c r="L41" s="16">
        <v>337</v>
      </c>
      <c r="M41" s="17">
        <v>2</v>
      </c>
      <c r="N41" s="17">
        <v>95.5</v>
      </c>
      <c r="O41" s="17">
        <v>1.4999999999999999E-2</v>
      </c>
      <c r="P41" s="17">
        <v>5</v>
      </c>
      <c r="Q41" s="17">
        <v>45</v>
      </c>
      <c r="R41" s="17">
        <v>90.484999999999999</v>
      </c>
      <c r="S41" s="20">
        <v>23.7</v>
      </c>
      <c r="T41" s="20">
        <v>25.3</v>
      </c>
      <c r="U41" s="5">
        <v>862.33</v>
      </c>
      <c r="V41" s="5" t="s">
        <v>161</v>
      </c>
      <c r="W41" s="22">
        <v>2.4999999999999369</v>
      </c>
      <c r="X41" s="22">
        <v>1.7266666666668267</v>
      </c>
      <c r="Y41" s="12">
        <v>69.31620592746448</v>
      </c>
      <c r="Z41" s="3">
        <v>1.2222222222222108E-2</v>
      </c>
      <c r="AA41" s="3">
        <v>1.4744444444444456</v>
      </c>
      <c r="AB41" s="3">
        <v>1.3882828282828286</v>
      </c>
      <c r="AC41" s="3">
        <v>0.94156333493183475</v>
      </c>
    </row>
    <row r="42" spans="1:29" x14ac:dyDescent="0.35">
      <c r="A42" s="2" t="s">
        <v>43</v>
      </c>
      <c r="B42" s="2" t="s">
        <v>44</v>
      </c>
      <c r="C42" s="13">
        <v>45077</v>
      </c>
      <c r="D42" s="2" t="s">
        <v>9</v>
      </c>
      <c r="E42" s="10">
        <v>0</v>
      </c>
      <c r="F42" s="10">
        <v>14.422000000000001</v>
      </c>
      <c r="G42" s="5">
        <v>0.75</v>
      </c>
      <c r="H42" s="5">
        <v>7.17</v>
      </c>
      <c r="I42" s="10">
        <v>-217.8</v>
      </c>
      <c r="J42" s="6">
        <v>817</v>
      </c>
      <c r="K42" s="16">
        <v>314</v>
      </c>
      <c r="L42" s="16">
        <v>233</v>
      </c>
      <c r="M42" s="17">
        <v>0.1</v>
      </c>
      <c r="N42" s="17">
        <v>122</v>
      </c>
      <c r="O42" s="17">
        <v>1.4999999999999999E-2</v>
      </c>
      <c r="P42" s="17">
        <v>5</v>
      </c>
      <c r="Q42" s="17">
        <v>77</v>
      </c>
      <c r="R42" s="17">
        <v>116.985</v>
      </c>
      <c r="S42" s="20">
        <v>20.399999999999999</v>
      </c>
      <c r="T42" s="20">
        <v>23</v>
      </c>
      <c r="U42" s="5">
        <v>194.99999999999991</v>
      </c>
      <c r="V42" s="5">
        <v>25</v>
      </c>
      <c r="W42" s="22">
        <v>0.46333333333355614</v>
      </c>
      <c r="X42" s="22">
        <v>0.17666666666684705</v>
      </c>
      <c r="Y42" s="12">
        <v>38.129496402898297</v>
      </c>
      <c r="Z42" s="3">
        <v>0</v>
      </c>
      <c r="AA42" s="3">
        <v>0.10666666666666602</v>
      </c>
      <c r="AB42" s="3">
        <v>7.9999999999999502E-2</v>
      </c>
      <c r="AC42" s="3">
        <v>0.74999999999999989</v>
      </c>
    </row>
    <row r="43" spans="1:29" x14ac:dyDescent="0.35">
      <c r="A43" s="2" t="s">
        <v>43</v>
      </c>
      <c r="B43" s="2" t="s">
        <v>44</v>
      </c>
      <c r="C43" s="13">
        <v>45077</v>
      </c>
      <c r="D43" s="2" t="s">
        <v>10</v>
      </c>
      <c r="E43" s="10">
        <v>0.55000000000000004</v>
      </c>
      <c r="F43" s="10">
        <v>13.647</v>
      </c>
      <c r="G43" s="5">
        <v>0.48399999999999999</v>
      </c>
      <c r="H43" s="5">
        <v>6.94</v>
      </c>
      <c r="I43" s="10">
        <v>-213.5</v>
      </c>
      <c r="J43" s="6">
        <v>916</v>
      </c>
      <c r="K43" s="16">
        <v>338</v>
      </c>
      <c r="L43" s="16">
        <v>276</v>
      </c>
      <c r="M43" s="17">
        <v>0.1</v>
      </c>
      <c r="N43" s="17">
        <v>84.3</v>
      </c>
      <c r="O43" s="17">
        <v>1.4999999999999999E-2</v>
      </c>
      <c r="P43" s="17">
        <v>5</v>
      </c>
      <c r="Q43" s="17">
        <v>76.7</v>
      </c>
      <c r="R43" s="17">
        <v>79.284999999999997</v>
      </c>
      <c r="S43" s="20">
        <v>24.3</v>
      </c>
      <c r="T43" s="20">
        <v>23</v>
      </c>
      <c r="U43" s="5">
        <v>169.00000000000003</v>
      </c>
      <c r="V43" s="5" t="s">
        <v>162</v>
      </c>
      <c r="W43" s="22">
        <v>0.56333333333308622</v>
      </c>
      <c r="X43" s="22">
        <v>0.24666666666680234</v>
      </c>
      <c r="Y43" s="12">
        <v>43.786982248564001</v>
      </c>
      <c r="Z43" s="3">
        <v>0</v>
      </c>
      <c r="AA43" s="3">
        <v>7.9999999999999502E-2</v>
      </c>
      <c r="AB43" s="3">
        <v>5.3333333333333011E-2</v>
      </c>
      <c r="AC43" s="3">
        <v>0.66666666666666674</v>
      </c>
    </row>
    <row r="44" spans="1:29" x14ac:dyDescent="0.35">
      <c r="A44" s="2" t="s">
        <v>43</v>
      </c>
      <c r="B44" s="2" t="s">
        <v>44</v>
      </c>
      <c r="C44" s="13">
        <v>45077</v>
      </c>
      <c r="D44" s="2" t="s">
        <v>11</v>
      </c>
      <c r="E44" s="10">
        <v>1.1100000000000001</v>
      </c>
      <c r="F44" s="10">
        <v>12.201000000000001</v>
      </c>
      <c r="G44" s="5">
        <v>0.31900000000000001</v>
      </c>
      <c r="H44" s="5">
        <v>6.1</v>
      </c>
      <c r="I44" s="10">
        <v>-160.5</v>
      </c>
      <c r="J44" s="6">
        <v>1301</v>
      </c>
      <c r="K44" s="18">
        <v>1344</v>
      </c>
      <c r="L44" s="16">
        <v>452</v>
      </c>
      <c r="M44" s="17">
        <v>0.375</v>
      </c>
      <c r="N44" s="17">
        <v>97</v>
      </c>
      <c r="O44" s="17">
        <v>1.7000000000000001E-2</v>
      </c>
      <c r="P44" s="17">
        <v>5</v>
      </c>
      <c r="Q44" s="17">
        <v>90.7</v>
      </c>
      <c r="R44" s="17">
        <v>91.983000000000004</v>
      </c>
      <c r="S44" s="20">
        <v>34.4</v>
      </c>
      <c r="T44" s="20">
        <v>35.6</v>
      </c>
      <c r="U44" s="5">
        <v>445.00000000000011</v>
      </c>
      <c r="V44" s="5" t="s">
        <v>163</v>
      </c>
      <c r="W44" s="22">
        <v>1.2199999999997619</v>
      </c>
      <c r="X44" s="22">
        <v>0.93666666666649689</v>
      </c>
      <c r="Y44" s="12">
        <v>76.775956284154063</v>
      </c>
      <c r="Z44" s="3">
        <v>0</v>
      </c>
      <c r="AA44" s="3">
        <v>0.47096774193548391</v>
      </c>
      <c r="AB44" s="3">
        <v>0.41612903225806436</v>
      </c>
      <c r="AC44" s="3">
        <v>0.88356164383561608</v>
      </c>
    </row>
    <row r="45" spans="1:29" x14ac:dyDescent="0.35">
      <c r="A45" s="2" t="s">
        <v>50</v>
      </c>
      <c r="B45" s="2" t="s">
        <v>51</v>
      </c>
      <c r="C45" s="13">
        <v>45084</v>
      </c>
      <c r="D45" s="2" t="s">
        <v>9</v>
      </c>
      <c r="E45" s="10">
        <v>0</v>
      </c>
      <c r="F45" s="10">
        <v>17.170000000000002</v>
      </c>
      <c r="G45" s="5">
        <v>0.246</v>
      </c>
      <c r="H45" s="5">
        <v>6.92</v>
      </c>
      <c r="I45" s="10">
        <v>-235.6</v>
      </c>
      <c r="J45" s="6">
        <v>1120</v>
      </c>
      <c r="K45" s="16">
        <v>971</v>
      </c>
      <c r="L45" s="16">
        <v>567</v>
      </c>
      <c r="M45" s="17">
        <v>0.5</v>
      </c>
      <c r="N45" s="17">
        <v>154</v>
      </c>
      <c r="O45" s="17">
        <v>2.4E-2</v>
      </c>
      <c r="P45" s="17">
        <v>5</v>
      </c>
      <c r="Q45" s="17">
        <v>126</v>
      </c>
      <c r="R45" s="17">
        <v>148.976</v>
      </c>
      <c r="S45" s="20">
        <v>50.1</v>
      </c>
      <c r="T45" s="20">
        <v>52.4</v>
      </c>
      <c r="U45" s="5">
        <v>632.99999999999989</v>
      </c>
      <c r="V45" s="5" t="s">
        <v>164</v>
      </c>
      <c r="W45" s="22">
        <v>1.2000000000000455</v>
      </c>
      <c r="X45" s="22">
        <v>0.39000000000015689</v>
      </c>
      <c r="Y45" s="12">
        <v>32.500000000011845</v>
      </c>
      <c r="Z45" s="3">
        <v>2.0000000000000111E-2</v>
      </c>
      <c r="AA45" s="3">
        <v>0.27000000000000035</v>
      </c>
      <c r="AB45" s="3">
        <v>0.27000000000000035</v>
      </c>
      <c r="AC45" s="3">
        <v>1</v>
      </c>
    </row>
    <row r="46" spans="1:29" x14ac:dyDescent="0.35">
      <c r="A46" s="2" t="s">
        <v>50</v>
      </c>
      <c r="B46" s="2" t="s">
        <v>51</v>
      </c>
      <c r="C46" s="13">
        <v>45084</v>
      </c>
      <c r="D46" s="2" t="s">
        <v>10</v>
      </c>
      <c r="E46" s="10">
        <v>0.42</v>
      </c>
      <c r="F46" s="10">
        <v>16.510000000000002</v>
      </c>
      <c r="G46" s="5">
        <v>0.13600000000000001</v>
      </c>
      <c r="H46" s="5">
        <v>6.9</v>
      </c>
      <c r="I46" s="10">
        <v>-252.7</v>
      </c>
      <c r="J46" s="6">
        <v>1283</v>
      </c>
      <c r="K46" s="16">
        <v>937</v>
      </c>
      <c r="L46" s="16">
        <v>573</v>
      </c>
      <c r="M46" s="17">
        <v>0.55500000000000005</v>
      </c>
      <c r="N46" s="17">
        <v>154</v>
      </c>
      <c r="O46" s="17">
        <v>2.5000000000000001E-2</v>
      </c>
      <c r="P46" s="17">
        <v>5</v>
      </c>
      <c r="Q46" s="17">
        <v>128</v>
      </c>
      <c r="R46" s="17">
        <v>148.97499999999999</v>
      </c>
      <c r="S46" s="20">
        <v>33.299999999999997</v>
      </c>
      <c r="T46" s="20">
        <v>36.1</v>
      </c>
      <c r="U46" s="5">
        <v>603.99999999999989</v>
      </c>
      <c r="V46" s="5" t="s">
        <v>165</v>
      </c>
      <c r="W46" s="22">
        <v>0.79666666666658636</v>
      </c>
      <c r="X46" s="22">
        <v>0.2833333333332651</v>
      </c>
      <c r="Y46" s="12">
        <v>35.564853556480372</v>
      </c>
      <c r="Z46" s="3">
        <v>3.6666666666666785E-2</v>
      </c>
      <c r="AA46" s="3">
        <v>0.23333333333333353</v>
      </c>
      <c r="AB46" s="3">
        <v>0.20300000000000001</v>
      </c>
      <c r="AC46" s="3">
        <v>0.86999999999999933</v>
      </c>
    </row>
    <row r="47" spans="1:29" x14ac:dyDescent="0.35">
      <c r="A47" s="2" t="s">
        <v>50</v>
      </c>
      <c r="B47" s="2" t="s">
        <v>51</v>
      </c>
      <c r="C47" s="13">
        <v>45084</v>
      </c>
      <c r="D47" s="2" t="s">
        <v>11</v>
      </c>
      <c r="E47" s="10">
        <v>0.95</v>
      </c>
      <c r="F47" s="10">
        <v>13.311</v>
      </c>
      <c r="G47" s="5">
        <v>7.4999999999999997E-2</v>
      </c>
      <c r="H47" s="5">
        <v>6.89</v>
      </c>
      <c r="I47" s="10">
        <v>-266.89999999999998</v>
      </c>
      <c r="J47" s="6">
        <v>1573</v>
      </c>
      <c r="K47" s="16">
        <v>532</v>
      </c>
      <c r="L47" s="16">
        <v>480</v>
      </c>
      <c r="M47" s="17">
        <v>0.24099999999999999</v>
      </c>
      <c r="N47" s="17">
        <v>155</v>
      </c>
      <c r="O47" s="17">
        <v>1.4999999999999999E-2</v>
      </c>
      <c r="P47" s="17">
        <v>5</v>
      </c>
      <c r="Q47" s="17">
        <v>143</v>
      </c>
      <c r="R47" s="17">
        <v>149.98500000000001</v>
      </c>
      <c r="S47" s="20">
        <v>47.1</v>
      </c>
      <c r="T47" s="20">
        <v>47.4</v>
      </c>
      <c r="U47" s="5">
        <v>309.00000000000006</v>
      </c>
      <c r="V47" s="5" t="s">
        <v>166</v>
      </c>
      <c r="W47" s="22">
        <v>0.81333333333333258</v>
      </c>
      <c r="X47" s="22">
        <v>0.26333333333354858</v>
      </c>
      <c r="Y47" s="12">
        <v>32.377049180354362</v>
      </c>
      <c r="Z47" s="3">
        <v>2.9999999999999933E-2</v>
      </c>
      <c r="AA47" s="3">
        <v>8.3333333333333412E-2</v>
      </c>
      <c r="AB47" s="3">
        <v>8.3333333333333412E-2</v>
      </c>
      <c r="AC47" s="3">
        <v>1</v>
      </c>
    </row>
    <row r="48" spans="1:29" x14ac:dyDescent="0.35">
      <c r="A48" s="2" t="s">
        <v>53</v>
      </c>
      <c r="B48" s="2" t="s">
        <v>52</v>
      </c>
      <c r="C48" s="13">
        <v>45084</v>
      </c>
      <c r="D48" s="2" t="s">
        <v>9</v>
      </c>
      <c r="E48" s="10">
        <v>0</v>
      </c>
      <c r="F48" s="10">
        <v>16.992000000000001</v>
      </c>
      <c r="G48" s="5">
        <v>0.26700000000000002</v>
      </c>
      <c r="H48" s="5">
        <v>6.75</v>
      </c>
      <c r="I48" s="10">
        <v>-240.6</v>
      </c>
      <c r="J48" s="6">
        <v>1124</v>
      </c>
      <c r="K48" s="16">
        <v>10496</v>
      </c>
      <c r="L48" s="16">
        <v>490</v>
      </c>
      <c r="M48" s="17">
        <v>2</v>
      </c>
      <c r="N48" s="17">
        <v>231</v>
      </c>
      <c r="O48" s="17">
        <v>0.04</v>
      </c>
      <c r="P48" s="17">
        <v>5</v>
      </c>
      <c r="Q48" s="17">
        <v>140</v>
      </c>
      <c r="R48" s="17">
        <v>225.96</v>
      </c>
      <c r="S48" s="20">
        <v>23.4</v>
      </c>
      <c r="T48" s="20">
        <v>36.700000000000003</v>
      </c>
      <c r="U48" s="5">
        <v>1748</v>
      </c>
      <c r="V48" s="5" t="s">
        <v>167</v>
      </c>
      <c r="W48" s="22">
        <v>4.956666666666365</v>
      </c>
      <c r="X48" s="22">
        <v>3.9266666666667525</v>
      </c>
      <c r="Y48" s="12">
        <v>79.219905850712664</v>
      </c>
      <c r="Z48" s="3">
        <v>0.19000000000000036</v>
      </c>
      <c r="AA48" s="3">
        <v>4.5999999999999996</v>
      </c>
      <c r="AB48" s="3">
        <v>4.05</v>
      </c>
      <c r="AC48" s="3">
        <v>0.88043478260869568</v>
      </c>
    </row>
    <row r="49" spans="1:29" x14ac:dyDescent="0.35">
      <c r="A49" s="2" t="s">
        <v>53</v>
      </c>
      <c r="B49" s="2" t="s">
        <v>52</v>
      </c>
      <c r="C49" s="13">
        <v>45084</v>
      </c>
      <c r="D49" s="2" t="s">
        <v>10</v>
      </c>
      <c r="E49" s="10">
        <v>0.67</v>
      </c>
      <c r="F49" s="10">
        <v>15.49</v>
      </c>
      <c r="G49" s="5">
        <v>0.156</v>
      </c>
      <c r="H49" s="5">
        <v>6.76</v>
      </c>
      <c r="I49" s="10">
        <v>-245.3</v>
      </c>
      <c r="J49" s="6">
        <v>1399</v>
      </c>
      <c r="K49" s="16">
        <v>6411</v>
      </c>
      <c r="L49" s="16">
        <v>477</v>
      </c>
      <c r="M49" s="17">
        <v>2</v>
      </c>
      <c r="N49" s="17">
        <v>198</v>
      </c>
      <c r="O49" s="17">
        <v>0.04</v>
      </c>
      <c r="P49" s="17">
        <v>5</v>
      </c>
      <c r="Q49" s="17">
        <v>127</v>
      </c>
      <c r="R49" s="17">
        <v>192.96</v>
      </c>
      <c r="S49" s="20">
        <v>33.6</v>
      </c>
      <c r="T49" s="20">
        <v>35.1</v>
      </c>
      <c r="U49" s="5">
        <v>1752.67</v>
      </c>
      <c r="V49" s="5">
        <v>250</v>
      </c>
      <c r="W49" s="22">
        <v>2.8900000000002515</v>
      </c>
      <c r="X49" s="22">
        <v>2.1933333333331952</v>
      </c>
      <c r="Y49" s="12">
        <v>75.893886966539952</v>
      </c>
      <c r="Z49" s="3">
        <v>0.10000000000000009</v>
      </c>
      <c r="AA49" s="3">
        <v>2.7899999999999996</v>
      </c>
      <c r="AB49" s="3">
        <v>2.4799999999999991</v>
      </c>
      <c r="AC49" s="3">
        <v>0.88888888888888873</v>
      </c>
    </row>
    <row r="50" spans="1:29" x14ac:dyDescent="0.35">
      <c r="A50" s="2" t="s">
        <v>53</v>
      </c>
      <c r="B50" s="2" t="s">
        <v>52</v>
      </c>
      <c r="C50" s="13">
        <v>45084</v>
      </c>
      <c r="D50" s="2" t="s">
        <v>11</v>
      </c>
      <c r="E50" s="10">
        <v>1.34</v>
      </c>
      <c r="F50" s="10">
        <v>13.103999999999999</v>
      </c>
      <c r="G50" s="5">
        <v>9.6000000000000002E-2</v>
      </c>
      <c r="H50" s="5">
        <v>6.84</v>
      </c>
      <c r="I50" s="10">
        <v>-247.8</v>
      </c>
      <c r="J50" s="6">
        <v>1853</v>
      </c>
      <c r="K50" s="16">
        <v>16665</v>
      </c>
      <c r="L50" s="16">
        <v>460</v>
      </c>
      <c r="M50" s="17">
        <v>2</v>
      </c>
      <c r="N50" s="17">
        <v>400</v>
      </c>
      <c r="O50" s="17">
        <v>4.8000000000000001E-2</v>
      </c>
      <c r="P50" s="17">
        <v>5</v>
      </c>
      <c r="Q50" s="17">
        <v>72.099999999999994</v>
      </c>
      <c r="R50" s="17">
        <v>394.952</v>
      </c>
      <c r="S50" s="20">
        <v>36</v>
      </c>
      <c r="T50" s="20">
        <v>36.5</v>
      </c>
      <c r="U50" s="5">
        <v>1755.9999999999998</v>
      </c>
      <c r="V50" s="5" t="s">
        <v>168</v>
      </c>
      <c r="W50" s="22">
        <v>9.8999999999999009</v>
      </c>
      <c r="X50" s="22">
        <v>7.606666666666702</v>
      </c>
      <c r="Y50" s="12">
        <v>76.835016835017967</v>
      </c>
      <c r="Z50" s="3">
        <v>1.1566666666666665</v>
      </c>
      <c r="AA50" s="3">
        <v>8.9888888888888889</v>
      </c>
      <c r="AB50" s="3">
        <v>7.1555555555555559</v>
      </c>
      <c r="AC50" s="3">
        <v>0.7960444993819531</v>
      </c>
    </row>
    <row r="51" spans="1:29" x14ac:dyDescent="0.35">
      <c r="A51" s="2" t="s">
        <v>54</v>
      </c>
      <c r="B51" s="2" t="s">
        <v>57</v>
      </c>
      <c r="C51" s="13">
        <v>45085</v>
      </c>
      <c r="D51" s="2" t="s">
        <v>9</v>
      </c>
      <c r="E51" s="10">
        <v>0</v>
      </c>
      <c r="F51" s="10">
        <v>18.887</v>
      </c>
      <c r="G51" s="5">
        <v>0.27100000000000002</v>
      </c>
      <c r="H51" s="5">
        <v>6.55</v>
      </c>
      <c r="I51" s="10">
        <v>-224.1</v>
      </c>
      <c r="J51" s="6">
        <v>1041</v>
      </c>
      <c r="K51" s="16">
        <v>4294</v>
      </c>
      <c r="L51" s="16">
        <v>310</v>
      </c>
      <c r="M51" s="17">
        <v>1.43</v>
      </c>
      <c r="N51" s="17">
        <v>117</v>
      </c>
      <c r="O51" s="17">
        <v>2.5000000000000001E-2</v>
      </c>
      <c r="P51" s="17">
        <v>5</v>
      </c>
      <c r="Q51" s="17">
        <v>83.2</v>
      </c>
      <c r="R51" s="17">
        <v>111.97499999999999</v>
      </c>
      <c r="S51" s="20">
        <v>28.7</v>
      </c>
      <c r="T51" s="20">
        <v>28.5</v>
      </c>
      <c r="U51" s="5">
        <v>781</v>
      </c>
      <c r="V51" s="5" t="s">
        <v>169</v>
      </c>
      <c r="W51" s="22">
        <v>1.9193548387096737</v>
      </c>
      <c r="X51" s="22">
        <v>1.4516129032258616</v>
      </c>
      <c r="Y51" s="12">
        <v>75.63025210084335</v>
      </c>
      <c r="Z51" s="3">
        <v>6.4516129032258118E-2</v>
      </c>
      <c r="AA51" s="3">
        <v>0.80952380952380953</v>
      </c>
      <c r="AB51" s="3">
        <v>0.77142857142857169</v>
      </c>
      <c r="AC51" s="3">
        <v>0.95294117647058851</v>
      </c>
    </row>
    <row r="52" spans="1:29" x14ac:dyDescent="0.35">
      <c r="A52" s="2" t="s">
        <v>54</v>
      </c>
      <c r="B52" s="2" t="s">
        <v>57</v>
      </c>
      <c r="C52" s="13">
        <v>45085</v>
      </c>
      <c r="D52" s="2" t="s">
        <v>10</v>
      </c>
      <c r="E52" s="10">
        <v>0.505</v>
      </c>
      <c r="F52" s="10">
        <v>18.079999999999998</v>
      </c>
      <c r="G52" s="5">
        <v>0.158</v>
      </c>
      <c r="H52" s="5">
        <v>6.6</v>
      </c>
      <c r="I52" s="10">
        <v>-230.4</v>
      </c>
      <c r="J52" s="6">
        <v>1087</v>
      </c>
      <c r="K52" s="16">
        <v>3470</v>
      </c>
      <c r="L52" s="16">
        <v>366</v>
      </c>
      <c r="M52" s="17">
        <v>1.32</v>
      </c>
      <c r="N52" s="17">
        <v>123</v>
      </c>
      <c r="O52" s="17">
        <v>2.9000000000000001E-2</v>
      </c>
      <c r="P52" s="17">
        <v>5</v>
      </c>
      <c r="Q52" s="17">
        <v>83.699999999999989</v>
      </c>
      <c r="R52" s="17">
        <v>117.971</v>
      </c>
      <c r="S52" s="20">
        <v>25.6</v>
      </c>
      <c r="T52" s="20">
        <v>25.8</v>
      </c>
      <c r="U52" s="5">
        <v>756.99999999999989</v>
      </c>
      <c r="V52" s="5" t="s">
        <v>170</v>
      </c>
      <c r="W52" s="22">
        <v>1.8777777777777436</v>
      </c>
      <c r="X52" s="22">
        <v>1.2377777777776562</v>
      </c>
      <c r="Y52" s="12">
        <v>65.967400774327857</v>
      </c>
      <c r="Z52" s="3">
        <v>2.222222222222224E-2</v>
      </c>
      <c r="AA52" s="3">
        <v>0.77833333333333365</v>
      </c>
      <c r="AB52" s="3">
        <v>0.75</v>
      </c>
      <c r="AC52" s="3">
        <v>0.96359743040685186</v>
      </c>
    </row>
    <row r="53" spans="1:29" x14ac:dyDescent="0.35">
      <c r="A53" s="2" t="s">
        <v>54</v>
      </c>
      <c r="B53" s="2" t="s">
        <v>57</v>
      </c>
      <c r="C53" s="13">
        <v>45085</v>
      </c>
      <c r="D53" s="2" t="s">
        <v>11</v>
      </c>
      <c r="E53" s="10">
        <v>1.01</v>
      </c>
      <c r="F53" s="10">
        <v>16.155999999999999</v>
      </c>
      <c r="G53" s="5">
        <v>7.4999999999999997E-2</v>
      </c>
      <c r="H53" s="5">
        <v>6.39</v>
      </c>
      <c r="I53" s="10">
        <v>-208.3</v>
      </c>
      <c r="J53" s="6">
        <v>2860</v>
      </c>
      <c r="K53" s="16">
        <v>8969</v>
      </c>
      <c r="L53" s="16">
        <v>425</v>
      </c>
      <c r="M53" s="17">
        <v>3.08</v>
      </c>
      <c r="N53" s="17">
        <v>196</v>
      </c>
      <c r="O53" s="17">
        <v>2.5999999999999999E-2</v>
      </c>
      <c r="P53" s="17">
        <v>5</v>
      </c>
      <c r="Q53" s="17">
        <v>91.300000000000011</v>
      </c>
      <c r="R53" s="17">
        <v>190.97399999999999</v>
      </c>
      <c r="S53" s="20">
        <v>37.4</v>
      </c>
      <c r="T53" s="20">
        <v>40.200000000000003</v>
      </c>
      <c r="U53" s="5">
        <v>874</v>
      </c>
      <c r="V53" s="5" t="s">
        <v>171</v>
      </c>
      <c r="W53" s="22">
        <v>3.9393939393938018</v>
      </c>
      <c r="X53" s="22">
        <v>2.9666666666665349</v>
      </c>
      <c r="Y53" s="12">
        <v>75.307692307691596</v>
      </c>
      <c r="Z53" s="3">
        <v>8.7878787878787876E-2</v>
      </c>
      <c r="AA53" s="3">
        <v>3.3999999999999986</v>
      </c>
      <c r="AB53" s="3">
        <v>3.1399999999999997</v>
      </c>
      <c r="AC53" s="3">
        <v>0.92352941176470615</v>
      </c>
    </row>
    <row r="54" spans="1:29" x14ac:dyDescent="0.35">
      <c r="A54" s="2" t="s">
        <v>55</v>
      </c>
      <c r="B54" s="2" t="s">
        <v>58</v>
      </c>
      <c r="C54" s="13">
        <v>45085</v>
      </c>
      <c r="D54" s="2" t="s">
        <v>10</v>
      </c>
      <c r="E54" s="10">
        <v>0</v>
      </c>
      <c r="F54" s="10">
        <v>24.477</v>
      </c>
      <c r="G54" s="5">
        <v>2.4569999999999999</v>
      </c>
      <c r="H54" s="5">
        <v>6.61</v>
      </c>
      <c r="I54" s="10">
        <v>-163.69999999999999</v>
      </c>
      <c r="J54" s="6">
        <v>598</v>
      </c>
      <c r="K54" s="16">
        <v>21920</v>
      </c>
      <c r="L54" s="16">
        <v>862</v>
      </c>
      <c r="M54" s="17">
        <v>13.4</v>
      </c>
      <c r="N54" s="17">
        <v>586</v>
      </c>
      <c r="O54" s="17">
        <v>3.4000000000000002E-2</v>
      </c>
      <c r="P54" s="17">
        <v>5</v>
      </c>
      <c r="Q54" s="17">
        <v>80</v>
      </c>
      <c r="R54" s="17">
        <v>580.96600000000001</v>
      </c>
      <c r="S54" s="20">
        <v>31.1</v>
      </c>
      <c r="T54" s="20">
        <v>34</v>
      </c>
      <c r="U54" s="5">
        <v>1754.67</v>
      </c>
      <c r="V54" s="5" t="s">
        <v>172</v>
      </c>
      <c r="W54" s="22">
        <v>14.73666666666702</v>
      </c>
      <c r="X54" s="22">
        <v>13.080000000000306</v>
      </c>
      <c r="Y54" s="12">
        <v>88.758199502374978</v>
      </c>
      <c r="Z54" s="3">
        <v>0.50333333333333297</v>
      </c>
      <c r="AA54" s="3">
        <v>5.0909090909090864</v>
      </c>
      <c r="AB54" s="3">
        <v>4.5454545454545361</v>
      </c>
      <c r="AC54" s="3">
        <v>0.89285714285714179</v>
      </c>
    </row>
    <row r="55" spans="1:29" x14ac:dyDescent="0.35">
      <c r="A55" s="2" t="s">
        <v>56</v>
      </c>
      <c r="B55" s="2" t="s">
        <v>59</v>
      </c>
      <c r="C55" s="13">
        <v>45085</v>
      </c>
      <c r="D55" s="2" t="s">
        <v>9</v>
      </c>
      <c r="E55" s="10">
        <v>0</v>
      </c>
      <c r="F55" s="10">
        <v>22.640999999999998</v>
      </c>
      <c r="G55" s="5">
        <v>0.28899999999999998</v>
      </c>
      <c r="H55" s="5">
        <v>6.9</v>
      </c>
      <c r="I55" s="10">
        <v>-187.4</v>
      </c>
      <c r="J55" s="6">
        <v>1166</v>
      </c>
      <c r="K55" s="16">
        <v>6032</v>
      </c>
      <c r="L55" s="16">
        <v>845</v>
      </c>
      <c r="M55" s="17">
        <v>3.09</v>
      </c>
      <c r="N55" s="17">
        <v>158</v>
      </c>
      <c r="O55" s="17">
        <v>8.5000000000000006E-2</v>
      </c>
      <c r="P55" s="17">
        <v>5</v>
      </c>
      <c r="Q55" s="17">
        <v>77.400000000000006</v>
      </c>
      <c r="R55" s="17">
        <v>152.91499999999999</v>
      </c>
      <c r="S55" s="20">
        <v>16.7</v>
      </c>
      <c r="T55" s="20">
        <v>22.2</v>
      </c>
      <c r="U55" s="5">
        <v>1766</v>
      </c>
      <c r="V55" s="5" t="s">
        <v>173</v>
      </c>
      <c r="W55" s="22">
        <v>4.1111111111110032</v>
      </c>
      <c r="X55" s="22">
        <v>3.0344444444444378</v>
      </c>
      <c r="Y55" s="12">
        <v>73.817195930684449</v>
      </c>
      <c r="Z55" s="3">
        <v>0.11555555555555547</v>
      </c>
      <c r="AA55" s="3">
        <v>3.7238095238095235</v>
      </c>
      <c r="AB55" s="3">
        <v>3.3952380952380961</v>
      </c>
      <c r="AC55" s="3">
        <v>0.91176470588235325</v>
      </c>
    </row>
    <row r="56" spans="1:29" x14ac:dyDescent="0.35">
      <c r="A56" s="2" t="s">
        <v>56</v>
      </c>
      <c r="B56" s="2" t="s">
        <v>59</v>
      </c>
      <c r="C56" s="13">
        <v>45085</v>
      </c>
      <c r="D56" s="2" t="s">
        <v>10</v>
      </c>
      <c r="E56" s="10">
        <v>0.61</v>
      </c>
      <c r="F56" s="10">
        <v>21.087</v>
      </c>
      <c r="G56" s="5">
        <v>0.44600000000000001</v>
      </c>
      <c r="H56" s="5">
        <v>7.15</v>
      </c>
      <c r="I56" s="10">
        <v>-218.2</v>
      </c>
      <c r="J56" s="6">
        <v>1224</v>
      </c>
      <c r="K56" s="16">
        <v>4622</v>
      </c>
      <c r="L56" s="16">
        <v>660</v>
      </c>
      <c r="M56" s="17">
        <v>1.61</v>
      </c>
      <c r="N56" s="17">
        <v>130</v>
      </c>
      <c r="O56" s="17">
        <v>5.6000000000000001E-2</v>
      </c>
      <c r="P56" s="17">
        <v>5</v>
      </c>
      <c r="Q56" s="17">
        <v>84.800000000000011</v>
      </c>
      <c r="R56" s="17">
        <v>124.94399999999999</v>
      </c>
      <c r="S56" s="20">
        <v>18.7</v>
      </c>
      <c r="T56" s="20">
        <v>20.8</v>
      </c>
      <c r="U56" s="5">
        <v>1770</v>
      </c>
      <c r="V56" s="5">
        <v>250</v>
      </c>
      <c r="W56" s="22">
        <v>3.1918918918922303</v>
      </c>
      <c r="X56" s="22">
        <v>2.4162162162165384</v>
      </c>
      <c r="Y56" s="12">
        <v>75.698560541915697</v>
      </c>
      <c r="Z56" s="3">
        <v>9.4594594594594683E-2</v>
      </c>
      <c r="AA56" s="3">
        <v>2.4000000000000004</v>
      </c>
      <c r="AB56" s="3">
        <v>2.0866666666666673</v>
      </c>
      <c r="AC56" s="3">
        <v>0.86944444444444458</v>
      </c>
    </row>
    <row r="57" spans="1:29" x14ac:dyDescent="0.35">
      <c r="A57" s="2" t="s">
        <v>56</v>
      </c>
      <c r="B57" s="2" t="s">
        <v>59</v>
      </c>
      <c r="C57" s="13">
        <v>45085</v>
      </c>
      <c r="D57" s="2" t="s">
        <v>11</v>
      </c>
      <c r="E57" s="10">
        <v>1.22</v>
      </c>
      <c r="F57" s="10">
        <v>16.454999999999998</v>
      </c>
      <c r="G57" s="5">
        <v>0.16700000000000001</v>
      </c>
      <c r="H57" s="5">
        <v>6.79</v>
      </c>
      <c r="I57" s="10">
        <v>-238.3</v>
      </c>
      <c r="J57" s="6">
        <v>1550</v>
      </c>
      <c r="K57" s="16">
        <v>4255</v>
      </c>
      <c r="L57" s="16">
        <v>509</v>
      </c>
      <c r="M57" s="17">
        <v>2.02</v>
      </c>
      <c r="N57" s="17">
        <v>183</v>
      </c>
      <c r="O57" s="17">
        <v>2.9000000000000001E-2</v>
      </c>
      <c r="P57" s="17">
        <v>5</v>
      </c>
      <c r="Q57" s="17">
        <v>95.600000000000009</v>
      </c>
      <c r="R57" s="17">
        <v>177.971</v>
      </c>
      <c r="S57" s="20">
        <v>23.7</v>
      </c>
      <c r="T57" s="20">
        <v>24.9</v>
      </c>
      <c r="U57" s="5">
        <v>1148</v>
      </c>
      <c r="V57" s="5">
        <v>466</v>
      </c>
      <c r="W57" s="22">
        <v>2.9300000000001583</v>
      </c>
      <c r="X57" s="22">
        <v>1.7600000000001614</v>
      </c>
      <c r="Y57" s="12">
        <v>60.068259385667801</v>
      </c>
      <c r="Z57" s="3">
        <v>5.0000000000000044E-2</v>
      </c>
      <c r="AA57" s="3">
        <v>1.8466666666666669</v>
      </c>
      <c r="AB57" s="3">
        <v>1.5999999999999994</v>
      </c>
      <c r="AC57" s="3">
        <v>0.86642599277978294</v>
      </c>
    </row>
    <row r="58" spans="1:29" x14ac:dyDescent="0.35">
      <c r="A58" s="2" t="s">
        <v>65</v>
      </c>
      <c r="B58" s="2" t="s">
        <v>67</v>
      </c>
      <c r="C58" s="13">
        <v>45098</v>
      </c>
      <c r="D58" s="2" t="s">
        <v>9</v>
      </c>
      <c r="E58" s="10">
        <v>0</v>
      </c>
      <c r="F58" s="10">
        <v>21.765999999999998</v>
      </c>
      <c r="G58" s="5">
        <v>1.6339999999999999</v>
      </c>
      <c r="H58" s="5">
        <v>6.28</v>
      </c>
      <c r="I58" s="10">
        <v>-229.5</v>
      </c>
      <c r="J58" s="6">
        <v>1107</v>
      </c>
      <c r="K58" s="16">
        <v>3044</v>
      </c>
      <c r="L58" s="16">
        <v>738</v>
      </c>
      <c r="M58" s="17">
        <v>1.05</v>
      </c>
      <c r="N58" s="17">
        <v>117</v>
      </c>
      <c r="O58" s="17">
        <v>1.9E-2</v>
      </c>
      <c r="P58" s="17">
        <v>5</v>
      </c>
      <c r="Q58" s="17">
        <v>67</v>
      </c>
      <c r="R58" s="17">
        <v>111.98099999999999</v>
      </c>
      <c r="S58" s="20">
        <v>27.9</v>
      </c>
      <c r="T58" s="20">
        <v>29.1</v>
      </c>
      <c r="U58" s="5">
        <v>902.99999999999989</v>
      </c>
      <c r="V58" s="5" t="s">
        <v>154</v>
      </c>
      <c r="W58" s="22">
        <v>2.23111111111128</v>
      </c>
      <c r="X58" s="22">
        <v>1.5800000000000283</v>
      </c>
      <c r="Y58" s="12">
        <v>70.861814713617846</v>
      </c>
      <c r="Z58" s="3">
        <v>1.111111111111112E-2</v>
      </c>
      <c r="AA58" s="3">
        <v>1.0182154882154879</v>
      </c>
      <c r="AB58" s="3">
        <v>0.93680134680134641</v>
      </c>
      <c r="AC58" s="3">
        <v>0.92004232664263741</v>
      </c>
    </row>
    <row r="59" spans="1:29" x14ac:dyDescent="0.35">
      <c r="A59" s="2" t="s">
        <v>65</v>
      </c>
      <c r="B59" s="2" t="s">
        <v>67</v>
      </c>
      <c r="C59" s="13">
        <v>45098</v>
      </c>
      <c r="D59" s="2" t="s">
        <v>10</v>
      </c>
      <c r="E59" s="10">
        <f>E60/2</f>
        <v>0.73499999999999999</v>
      </c>
      <c r="F59" s="10">
        <v>21.710999999999999</v>
      </c>
      <c r="G59" s="5">
        <v>0.45500000000000002</v>
      </c>
      <c r="H59" s="5">
        <v>6.38</v>
      </c>
      <c r="I59" s="10">
        <v>-231.2</v>
      </c>
      <c r="J59" s="6">
        <v>1105</v>
      </c>
      <c r="K59" s="16">
        <v>2109</v>
      </c>
      <c r="L59" s="16">
        <v>650</v>
      </c>
      <c r="M59" s="17">
        <v>0.63100000000000001</v>
      </c>
      <c r="N59" s="17">
        <v>110</v>
      </c>
      <c r="O59" s="17">
        <v>1.6E-2</v>
      </c>
      <c r="P59" s="17">
        <v>5</v>
      </c>
      <c r="Q59" s="17">
        <v>62.1</v>
      </c>
      <c r="R59" s="17">
        <v>104.98399999999999</v>
      </c>
      <c r="S59" s="20">
        <v>22.7</v>
      </c>
      <c r="T59" s="20">
        <v>24.6</v>
      </c>
      <c r="U59" s="5">
        <v>718.33</v>
      </c>
      <c r="V59" s="5" t="s">
        <v>155</v>
      </c>
      <c r="W59" s="22">
        <v>1.832258064516443</v>
      </c>
      <c r="X59" s="22">
        <v>1.1774193548388308</v>
      </c>
      <c r="Y59" s="12">
        <v>64.26056338027729</v>
      </c>
      <c r="Z59" s="3">
        <v>0</v>
      </c>
      <c r="AA59" s="3">
        <v>0.68</v>
      </c>
      <c r="AB59" s="3">
        <v>0.60999999999999943</v>
      </c>
      <c r="AC59" s="3">
        <v>0.89705882352941091</v>
      </c>
    </row>
    <row r="60" spans="1:29" x14ac:dyDescent="0.35">
      <c r="A60" s="2" t="s">
        <v>65</v>
      </c>
      <c r="B60" s="2" t="s">
        <v>67</v>
      </c>
      <c r="C60" s="13">
        <v>45098</v>
      </c>
      <c r="D60" s="2" t="s">
        <v>11</v>
      </c>
      <c r="E60" s="10">
        <v>1.47</v>
      </c>
      <c r="F60" s="10">
        <v>19.62</v>
      </c>
      <c r="G60" s="5">
        <v>5.7000000000000002E-2</v>
      </c>
      <c r="H60" s="5">
        <v>6.58</v>
      </c>
      <c r="I60" s="10">
        <v>-230.7</v>
      </c>
      <c r="J60" s="6">
        <v>1497</v>
      </c>
      <c r="K60" s="16">
        <v>1431</v>
      </c>
      <c r="L60" s="16">
        <v>632</v>
      </c>
      <c r="M60" s="17">
        <v>0.48099999999999998</v>
      </c>
      <c r="N60" s="17">
        <v>108</v>
      </c>
      <c r="O60" s="17">
        <v>1.4999999999999999E-2</v>
      </c>
      <c r="P60" s="17">
        <v>5</v>
      </c>
      <c r="Q60" s="17">
        <v>54.6</v>
      </c>
      <c r="R60" s="17">
        <v>102.985</v>
      </c>
      <c r="S60" s="20">
        <v>22.3</v>
      </c>
      <c r="T60" s="20">
        <v>23.5</v>
      </c>
      <c r="U60" s="5">
        <v>650</v>
      </c>
      <c r="V60" s="5" t="s">
        <v>156</v>
      </c>
      <c r="W60" s="22">
        <v>1.5031249999997165</v>
      </c>
      <c r="X60" s="22">
        <v>1.0468749999996696</v>
      </c>
      <c r="Y60" s="12">
        <v>69.646569646560792</v>
      </c>
      <c r="Z60" s="3">
        <v>0</v>
      </c>
      <c r="AA60" s="3">
        <v>0.59999999999999953</v>
      </c>
      <c r="AB60" s="3">
        <v>0.55454545454545401</v>
      </c>
      <c r="AC60" s="3">
        <v>0.92424242424242409</v>
      </c>
    </row>
    <row r="61" spans="1:29" x14ac:dyDescent="0.35">
      <c r="A61" s="2" t="s">
        <v>66</v>
      </c>
      <c r="B61" s="2" t="s">
        <v>68</v>
      </c>
      <c r="C61" s="13">
        <v>45098</v>
      </c>
      <c r="D61" s="2" t="s">
        <v>9</v>
      </c>
      <c r="E61" s="10">
        <v>0</v>
      </c>
      <c r="F61" s="10">
        <v>15.648999999999999</v>
      </c>
      <c r="G61" s="5">
        <v>2.1850000000000001</v>
      </c>
      <c r="H61" s="5">
        <v>6.9</v>
      </c>
      <c r="I61" s="10">
        <v>-233.7</v>
      </c>
      <c r="J61" s="6">
        <v>1525</v>
      </c>
      <c r="K61" s="16">
        <v>787</v>
      </c>
      <c r="L61" s="16">
        <v>470</v>
      </c>
      <c r="M61" s="17">
        <v>1.4</v>
      </c>
      <c r="N61" s="17">
        <v>196</v>
      </c>
      <c r="O61" s="17">
        <v>1.4999999999999999E-2</v>
      </c>
      <c r="P61" s="17">
        <v>5</v>
      </c>
      <c r="Q61" s="17">
        <v>113</v>
      </c>
      <c r="R61" s="17">
        <v>190.98500000000001</v>
      </c>
      <c r="S61" s="20">
        <v>53.8</v>
      </c>
      <c r="T61" s="20">
        <v>56.2</v>
      </c>
      <c r="U61" s="5">
        <v>413.99999999999994</v>
      </c>
      <c r="V61" s="5" t="s">
        <v>157</v>
      </c>
      <c r="W61" s="22">
        <v>0.97509632616516206</v>
      </c>
      <c r="X61" s="22">
        <v>0.5737992831543508</v>
      </c>
      <c r="Y61" s="12">
        <v>58.623865866168238</v>
      </c>
      <c r="Z61" s="3">
        <v>6.451612903225692E-3</v>
      </c>
      <c r="AA61" s="3">
        <v>0.23555555555555596</v>
      </c>
      <c r="AB61" s="3">
        <v>0.21611111111111106</v>
      </c>
      <c r="AC61" s="3">
        <v>0.9174528301886774</v>
      </c>
    </row>
    <row r="62" spans="1:29" x14ac:dyDescent="0.35">
      <c r="A62" s="2" t="s">
        <v>66</v>
      </c>
      <c r="B62" s="2" t="s">
        <v>68</v>
      </c>
      <c r="C62" s="13">
        <v>45098</v>
      </c>
      <c r="D62" s="2" t="s">
        <v>10</v>
      </c>
      <c r="E62" s="10">
        <f>E63/2</f>
        <v>0.57499999999999996</v>
      </c>
      <c r="F62" s="10">
        <v>15.02</v>
      </c>
      <c r="G62" s="5">
        <v>1.75</v>
      </c>
      <c r="H62" s="5">
        <v>6.29</v>
      </c>
      <c r="I62" s="10">
        <v>-201</v>
      </c>
      <c r="J62" s="6">
        <v>2250</v>
      </c>
      <c r="K62" s="16">
        <v>744</v>
      </c>
      <c r="L62" s="16">
        <v>832</v>
      </c>
      <c r="M62" s="17">
        <v>0.51400000000000001</v>
      </c>
      <c r="N62" s="17">
        <v>184</v>
      </c>
      <c r="O62" s="17">
        <v>1.4999999999999999E-2</v>
      </c>
      <c r="P62" s="17">
        <v>5</v>
      </c>
      <c r="Q62" s="17">
        <v>133</v>
      </c>
      <c r="R62" s="17">
        <v>178.98500000000001</v>
      </c>
      <c r="S62" s="20">
        <v>59</v>
      </c>
      <c r="T62" s="20">
        <v>62.8</v>
      </c>
      <c r="U62" s="5">
        <v>367.99999999999994</v>
      </c>
      <c r="V62" s="5" t="s">
        <v>158</v>
      </c>
      <c r="W62" s="22">
        <v>0.93333333333352664</v>
      </c>
      <c r="X62" s="22">
        <v>0.60999999999988097</v>
      </c>
      <c r="Y62" s="12">
        <v>65.357142857116571</v>
      </c>
      <c r="Z62" s="3">
        <v>0</v>
      </c>
      <c r="AA62" s="3">
        <v>0.17826086956521706</v>
      </c>
      <c r="AB62" s="3">
        <v>0.16086956521739049</v>
      </c>
      <c r="AC62" s="3">
        <v>0.90243902439024104</v>
      </c>
    </row>
    <row r="63" spans="1:29" x14ac:dyDescent="0.35">
      <c r="A63" s="2" t="s">
        <v>66</v>
      </c>
      <c r="B63" s="2" t="s">
        <v>68</v>
      </c>
      <c r="C63" s="13">
        <v>45098</v>
      </c>
      <c r="D63" s="2" t="s">
        <v>11</v>
      </c>
      <c r="E63" s="10">
        <v>1.1499999999999999</v>
      </c>
      <c r="F63" s="10">
        <v>13.879</v>
      </c>
      <c r="G63" s="5">
        <v>7.5999999999999998E-2</v>
      </c>
      <c r="H63" s="5">
        <v>5.92</v>
      </c>
      <c r="I63" s="10">
        <v>-175.5</v>
      </c>
      <c r="J63" s="6">
        <v>2700</v>
      </c>
      <c r="K63" s="16">
        <v>1652</v>
      </c>
      <c r="L63" s="16">
        <v>1489</v>
      </c>
      <c r="M63" s="17">
        <v>0.497</v>
      </c>
      <c r="N63" s="17">
        <v>216</v>
      </c>
      <c r="O63" s="17">
        <v>1.4999999999999999E-2</v>
      </c>
      <c r="P63" s="17">
        <v>5</v>
      </c>
      <c r="Q63" s="17">
        <v>157</v>
      </c>
      <c r="R63" s="17">
        <v>210.98500000000001</v>
      </c>
      <c r="S63" s="17">
        <v>72</v>
      </c>
      <c r="T63" s="17">
        <v>72.099999999999994</v>
      </c>
      <c r="U63" s="5">
        <v>914</v>
      </c>
      <c r="V63" s="5">
        <v>104</v>
      </c>
      <c r="W63" s="22">
        <v>1.1533333333332507</v>
      </c>
      <c r="X63" s="22">
        <v>0.72333333333318706</v>
      </c>
      <c r="Y63" s="12">
        <v>62.716763005772158</v>
      </c>
      <c r="Z63" s="3">
        <v>0</v>
      </c>
      <c r="AA63" s="3">
        <v>0.26086956521739152</v>
      </c>
      <c r="AB63" s="3">
        <v>0.23478260869565287</v>
      </c>
      <c r="AC63" s="3">
        <v>0.90000000000000191</v>
      </c>
    </row>
    <row r="64" spans="1:29" x14ac:dyDescent="0.35">
      <c r="A64" s="2" t="s">
        <v>250</v>
      </c>
      <c r="B64" s="2" t="s">
        <v>269</v>
      </c>
      <c r="C64" s="13">
        <v>45306</v>
      </c>
      <c r="D64" s="2" t="s">
        <v>9</v>
      </c>
      <c r="E64" s="10">
        <v>0</v>
      </c>
      <c r="F64" s="10">
        <v>24.03</v>
      </c>
      <c r="G64" s="5">
        <v>0.29599999999999999</v>
      </c>
      <c r="H64" s="5">
        <v>2.93</v>
      </c>
      <c r="I64" s="10">
        <v>-216</v>
      </c>
      <c r="J64" s="6">
        <v>1235</v>
      </c>
      <c r="K64" s="16">
        <v>3420</v>
      </c>
      <c r="L64" s="16">
        <v>341</v>
      </c>
      <c r="M64" s="17">
        <v>2.2600000000000002</v>
      </c>
      <c r="N64" s="17">
        <v>290</v>
      </c>
      <c r="O64" s="17">
        <v>0.04</v>
      </c>
      <c r="P64" s="17">
        <v>0.33</v>
      </c>
      <c r="Q64" s="17">
        <v>88.3</v>
      </c>
      <c r="R64" s="17">
        <v>289.63</v>
      </c>
      <c r="S64" s="17">
        <v>7.13</v>
      </c>
      <c r="T64" s="17">
        <v>42.400000000000006</v>
      </c>
      <c r="U64" s="5"/>
      <c r="V64" s="23" t="s">
        <v>353</v>
      </c>
      <c r="W64" s="22">
        <v>2.51612903225816</v>
      </c>
      <c r="X64" s="22">
        <v>1.4967741935485661</v>
      </c>
      <c r="Y64" s="12">
        <v>59.487179487184349</v>
      </c>
      <c r="Z64" s="3">
        <v>0.1806451612903224</v>
      </c>
      <c r="AA64" s="3">
        <v>0.33999999999999864</v>
      </c>
      <c r="AB64" s="3">
        <v>0.28999999999999859</v>
      </c>
      <c r="AC64" s="3">
        <v>0.85294117647058754</v>
      </c>
    </row>
    <row r="65" spans="1:29" x14ac:dyDescent="0.35">
      <c r="A65" s="2" t="s">
        <v>250</v>
      </c>
      <c r="B65" s="2" t="s">
        <v>269</v>
      </c>
      <c r="C65" s="13">
        <v>45306</v>
      </c>
      <c r="D65" s="2" t="s">
        <v>10</v>
      </c>
      <c r="E65" s="10">
        <v>1.05</v>
      </c>
      <c r="F65" s="10">
        <v>23.896000000000001</v>
      </c>
      <c r="G65" s="5">
        <v>6.2E-2</v>
      </c>
      <c r="H65" s="5">
        <v>2.88</v>
      </c>
      <c r="I65" s="10">
        <v>-260</v>
      </c>
      <c r="J65" s="6">
        <v>1142</v>
      </c>
      <c r="K65" s="16">
        <v>33300</v>
      </c>
      <c r="L65" s="16">
        <v>2620</v>
      </c>
      <c r="M65" s="17">
        <v>0.34</v>
      </c>
      <c r="N65" s="17">
        <v>412</v>
      </c>
      <c r="O65" s="17">
        <v>5.8999999999999997E-2</v>
      </c>
      <c r="P65" s="17">
        <v>9.82</v>
      </c>
      <c r="Q65" s="17">
        <v>122.2</v>
      </c>
      <c r="R65" s="17">
        <v>402.12099999999998</v>
      </c>
      <c r="S65" s="17">
        <v>8.58</v>
      </c>
      <c r="T65" s="17">
        <v>45.3</v>
      </c>
      <c r="U65" s="5"/>
      <c r="V65" s="23" t="s">
        <v>354</v>
      </c>
      <c r="W65" s="22">
        <v>19.096774193548345</v>
      </c>
      <c r="X65" s="22">
        <v>11.49354838709646</v>
      </c>
      <c r="Y65" s="12">
        <v>60.185810810809301</v>
      </c>
      <c r="Z65" s="3">
        <v>2.9225806451612906</v>
      </c>
      <c r="AA65" s="3">
        <v>8.7142857142857064</v>
      </c>
      <c r="AB65" s="3">
        <v>6.2857142857142669</v>
      </c>
      <c r="AC65" s="3">
        <v>0.72131147540983453</v>
      </c>
    </row>
    <row r="66" spans="1:29" x14ac:dyDescent="0.35">
      <c r="A66" s="2" t="s">
        <v>250</v>
      </c>
      <c r="B66" s="2" t="s">
        <v>269</v>
      </c>
      <c r="C66" s="13">
        <v>45306</v>
      </c>
      <c r="D66" s="2" t="s">
        <v>11</v>
      </c>
      <c r="E66" s="10">
        <v>2.1</v>
      </c>
      <c r="F66" s="10">
        <v>23.888999999999999</v>
      </c>
      <c r="G66" s="5">
        <v>5.7000000000000002E-2</v>
      </c>
      <c r="H66" s="5">
        <v>3.9</v>
      </c>
      <c r="I66" s="10">
        <v>-276</v>
      </c>
      <c r="J66" s="6">
        <v>1046</v>
      </c>
      <c r="K66" s="16">
        <v>47040</v>
      </c>
      <c r="L66" s="16">
        <v>2400</v>
      </c>
      <c r="M66" s="17">
        <v>0.43999999999999995</v>
      </c>
      <c r="N66" s="17">
        <v>1776</v>
      </c>
      <c r="O66" s="17">
        <v>0.04</v>
      </c>
      <c r="P66" s="17">
        <v>6.78</v>
      </c>
      <c r="Q66" s="17">
        <v>316</v>
      </c>
      <c r="R66" s="17">
        <v>1769.18</v>
      </c>
      <c r="S66" s="17">
        <v>1.48</v>
      </c>
      <c r="T66" s="17">
        <v>54.7</v>
      </c>
      <c r="U66" s="5"/>
      <c r="V66" s="23">
        <v>2133.6666666666665</v>
      </c>
      <c r="W66" s="22">
        <v>41.203225806451968</v>
      </c>
      <c r="X66" s="22">
        <v>14.035483870967923</v>
      </c>
      <c r="Y66" s="12">
        <v>34.064041337195796</v>
      </c>
      <c r="Z66" s="3">
        <v>20.509677419354837</v>
      </c>
      <c r="AA66" s="3">
        <v>9.5999999999999979</v>
      </c>
      <c r="AB66" s="3">
        <v>4.0000000000000036</v>
      </c>
      <c r="AC66" s="3">
        <v>0.41666666666666713</v>
      </c>
    </row>
    <row r="67" spans="1:29" x14ac:dyDescent="0.35">
      <c r="A67" s="2" t="s">
        <v>251</v>
      </c>
      <c r="B67" s="2" t="s">
        <v>270</v>
      </c>
      <c r="C67" s="13">
        <v>45307</v>
      </c>
      <c r="D67" s="2" t="s">
        <v>9</v>
      </c>
      <c r="E67" s="10">
        <v>0</v>
      </c>
      <c r="F67" s="10">
        <v>23.541</v>
      </c>
      <c r="G67" s="5">
        <v>0.52500000000000002</v>
      </c>
      <c r="H67" s="5">
        <v>7.01</v>
      </c>
      <c r="I67" s="10">
        <v>-220</v>
      </c>
      <c r="J67" s="6">
        <v>894</v>
      </c>
      <c r="K67" s="16">
        <v>373</v>
      </c>
      <c r="L67" s="16">
        <v>155</v>
      </c>
      <c r="M67" s="17">
        <v>2.9000000000000001E-2</v>
      </c>
      <c r="N67" s="17">
        <v>216</v>
      </c>
      <c r="O67" s="17">
        <v>4.0000000000000001E-3</v>
      </c>
      <c r="P67" s="17">
        <v>0.87999999999999989</v>
      </c>
      <c r="Q67" s="17">
        <v>79.2</v>
      </c>
      <c r="R67" s="17">
        <v>215.11600000000001</v>
      </c>
      <c r="S67" s="17">
        <v>7.59</v>
      </c>
      <c r="T67" s="17">
        <v>8.5500000000000007</v>
      </c>
      <c r="U67" s="5"/>
      <c r="V67" s="23" t="s">
        <v>355</v>
      </c>
      <c r="W67" s="22">
        <v>0.55000000000025773</v>
      </c>
      <c r="X67" s="22">
        <v>0.38333333333326891</v>
      </c>
      <c r="Y67" s="12">
        <v>69.696969696925322</v>
      </c>
      <c r="Z67" s="3">
        <v>0</v>
      </c>
      <c r="AA67" s="3">
        <v>1.8181818181818701E-2</v>
      </c>
      <c r="AB67" s="3">
        <v>1.8181818181818701E-2</v>
      </c>
      <c r="AC67" s="3">
        <v>1</v>
      </c>
    </row>
    <row r="68" spans="1:29" x14ac:dyDescent="0.35">
      <c r="A68" s="2" t="s">
        <v>251</v>
      </c>
      <c r="B68" s="2" t="s">
        <v>270</v>
      </c>
      <c r="C68" s="13">
        <v>45307</v>
      </c>
      <c r="D68" s="2" t="s">
        <v>10</v>
      </c>
      <c r="E68" s="10">
        <v>1.75</v>
      </c>
      <c r="F68" s="10">
        <v>23.553000000000001</v>
      </c>
      <c r="G68" s="5">
        <v>0.28499999999999998</v>
      </c>
      <c r="H68" s="5">
        <v>6.98</v>
      </c>
      <c r="I68" s="10">
        <v>-243</v>
      </c>
      <c r="J68" s="6">
        <v>894</v>
      </c>
      <c r="K68" s="16">
        <v>447</v>
      </c>
      <c r="L68" s="16">
        <v>243.33333333333334</v>
      </c>
      <c r="M68" s="17">
        <v>2.8000000000000001E-2</v>
      </c>
      <c r="N68" s="17">
        <v>198.2</v>
      </c>
      <c r="O68" s="17">
        <v>0.02</v>
      </c>
      <c r="P68" s="17">
        <v>27.900000000000002</v>
      </c>
      <c r="Q68" s="17">
        <v>118.5</v>
      </c>
      <c r="R68" s="17">
        <v>166.02999999999997</v>
      </c>
      <c r="S68" s="17">
        <v>8.0399999999999991</v>
      </c>
      <c r="T68" s="17">
        <v>9.1999999999999993</v>
      </c>
      <c r="U68" s="5">
        <v>436</v>
      </c>
      <c r="V68" s="23" t="s">
        <v>356</v>
      </c>
      <c r="W68" s="22">
        <v>0.52459999999999996</v>
      </c>
      <c r="X68" s="22">
        <v>0.1246</v>
      </c>
      <c r="Y68" s="12">
        <v>23.758400000000002</v>
      </c>
      <c r="Z68" s="3">
        <v>0</v>
      </c>
      <c r="AA68" s="3">
        <v>1.456E-2</v>
      </c>
      <c r="AB68" s="3">
        <v>3.456E-2</v>
      </c>
      <c r="AC68" s="3">
        <v>2.3736263736263736</v>
      </c>
    </row>
    <row r="69" spans="1:29" x14ac:dyDescent="0.35">
      <c r="A69" s="2" t="s">
        <v>251</v>
      </c>
      <c r="B69" s="2" t="s">
        <v>270</v>
      </c>
      <c r="C69" s="13">
        <v>45307</v>
      </c>
      <c r="D69" s="2" t="s">
        <v>11</v>
      </c>
      <c r="E69" s="10">
        <v>3.5</v>
      </c>
      <c r="F69" s="10">
        <v>23.547000000000001</v>
      </c>
      <c r="G69" s="5">
        <v>0.218</v>
      </c>
      <c r="H69" s="5">
        <v>6.51</v>
      </c>
      <c r="I69" s="10">
        <v>-220</v>
      </c>
      <c r="J69" s="6">
        <v>527</v>
      </c>
      <c r="K69" s="16">
        <v>384</v>
      </c>
      <c r="L69" s="16">
        <v>139</v>
      </c>
      <c r="M69" s="17">
        <v>4.1000000000000002E-2</v>
      </c>
      <c r="N69" s="17">
        <v>372</v>
      </c>
      <c r="O69" s="17">
        <v>3.0000000000000001E-3</v>
      </c>
      <c r="P69" s="17">
        <v>3.66</v>
      </c>
      <c r="Q69" s="17">
        <v>70.3</v>
      </c>
      <c r="R69" s="17">
        <v>368.33699999999999</v>
      </c>
      <c r="S69" s="17">
        <v>7.56</v>
      </c>
      <c r="T69" s="17">
        <v>8.6199999999999992</v>
      </c>
      <c r="U69" s="5">
        <v>495</v>
      </c>
      <c r="V69" s="23" t="s">
        <v>357</v>
      </c>
      <c r="W69" s="22">
        <v>0.50000000000009537</v>
      </c>
      <c r="X69" s="22">
        <v>0.15161290322579693</v>
      </c>
      <c r="Y69" s="12">
        <v>30.3225806451536</v>
      </c>
      <c r="Z69" s="3">
        <v>3.2258064516129059E-2</v>
      </c>
      <c r="AA69" s="3">
        <v>1.0526315789473986E-2</v>
      </c>
      <c r="AB69" s="3">
        <v>1.0526315789473986E-2</v>
      </c>
      <c r="AC69" s="3">
        <v>1</v>
      </c>
    </row>
    <row r="70" spans="1:29" x14ac:dyDescent="0.35">
      <c r="A70" s="2" t="s">
        <v>252</v>
      </c>
      <c r="B70" s="2" t="s">
        <v>271</v>
      </c>
      <c r="C70" s="13">
        <v>45307</v>
      </c>
      <c r="D70" s="2" t="s">
        <v>9</v>
      </c>
      <c r="E70" s="10">
        <v>0</v>
      </c>
      <c r="F70" s="10">
        <v>23.908000000000001</v>
      </c>
      <c r="G70" s="5">
        <v>0.42599999999999999</v>
      </c>
      <c r="H70" s="5">
        <v>7.1</v>
      </c>
      <c r="I70" s="10">
        <v>-530</v>
      </c>
      <c r="J70" s="6">
        <v>1212</v>
      </c>
      <c r="K70" s="16">
        <v>625</v>
      </c>
      <c r="L70" s="16">
        <v>217</v>
      </c>
      <c r="M70" s="17">
        <v>9.4E-2</v>
      </c>
      <c r="N70" s="17">
        <v>294</v>
      </c>
      <c r="O70" s="17">
        <v>1.0999999999999999E-2</v>
      </c>
      <c r="P70" s="17">
        <v>30</v>
      </c>
      <c r="Q70" s="17">
        <v>114</v>
      </c>
      <c r="R70" s="17">
        <v>263.98899999999998</v>
      </c>
      <c r="S70" s="17">
        <v>12.5</v>
      </c>
      <c r="T70" s="17">
        <v>24</v>
      </c>
      <c r="U70" s="5"/>
      <c r="V70" s="23" t="s">
        <v>358</v>
      </c>
      <c r="W70" s="22">
        <v>0.67096774193575381</v>
      </c>
      <c r="X70" s="22">
        <v>0.16129032258095688</v>
      </c>
      <c r="Y70" s="12">
        <v>24.038461538498325</v>
      </c>
      <c r="Z70" s="3">
        <v>4.1935483870967599E-2</v>
      </c>
      <c r="AA70" s="3">
        <v>7.7272727272726327E-2</v>
      </c>
      <c r="AB70" s="3">
        <v>7.7272727272726327E-2</v>
      </c>
      <c r="AC70" s="3">
        <v>1</v>
      </c>
    </row>
    <row r="71" spans="1:29" x14ac:dyDescent="0.35">
      <c r="A71" s="2" t="s">
        <v>252</v>
      </c>
      <c r="B71" s="2" t="s">
        <v>271</v>
      </c>
      <c r="C71" s="13">
        <v>45307</v>
      </c>
      <c r="D71" s="2" t="s">
        <v>10</v>
      </c>
      <c r="E71" s="10">
        <v>1</v>
      </c>
      <c r="F71" s="10">
        <v>23.914000000000001</v>
      </c>
      <c r="G71" s="5">
        <v>0.17599999999999999</v>
      </c>
      <c r="H71" s="5">
        <v>6.93</v>
      </c>
      <c r="I71" s="10">
        <v>-460</v>
      </c>
      <c r="J71" s="6">
        <v>1237</v>
      </c>
      <c r="K71" s="16">
        <v>494</v>
      </c>
      <c r="L71" s="16">
        <v>193</v>
      </c>
      <c r="M71" s="17">
        <v>5.8999999999999997E-2</v>
      </c>
      <c r="N71" s="17">
        <v>372</v>
      </c>
      <c r="O71" s="17">
        <v>1.7999999999999999E-2</v>
      </c>
      <c r="P71" s="17">
        <v>2.96</v>
      </c>
      <c r="Q71" s="17">
        <v>110</v>
      </c>
      <c r="R71" s="17">
        <v>369.02200000000005</v>
      </c>
      <c r="S71" s="17">
        <v>12.4</v>
      </c>
      <c r="T71" s="17">
        <v>15.3</v>
      </c>
      <c r="U71" s="5"/>
      <c r="V71" s="23" t="s">
        <v>359</v>
      </c>
      <c r="W71" s="22">
        <v>0.643750000000054</v>
      </c>
      <c r="X71" s="22">
        <v>0.17812500000013998</v>
      </c>
      <c r="Y71" s="12">
        <v>27.669902912640783</v>
      </c>
      <c r="Z71" s="3">
        <v>0</v>
      </c>
      <c r="AA71" s="3">
        <v>5.0000000000008371E-3</v>
      </c>
      <c r="AB71" s="3">
        <v>5.0000000000008371E-3</v>
      </c>
      <c r="AC71" s="3">
        <v>1</v>
      </c>
    </row>
    <row r="72" spans="1:29" x14ac:dyDescent="0.35">
      <c r="A72" s="2" t="s">
        <v>252</v>
      </c>
      <c r="B72" s="2" t="s">
        <v>271</v>
      </c>
      <c r="C72" s="13">
        <v>45307</v>
      </c>
      <c r="D72" s="2" t="s">
        <v>11</v>
      </c>
      <c r="E72" s="10">
        <v>2.0499999999999998</v>
      </c>
      <c r="F72" s="10">
        <v>24.03</v>
      </c>
      <c r="G72" s="5">
        <v>0.105</v>
      </c>
      <c r="H72" s="5">
        <v>6.62</v>
      </c>
      <c r="I72" s="10">
        <v>-420</v>
      </c>
      <c r="J72" s="6">
        <v>1459</v>
      </c>
      <c r="K72" s="16">
        <v>60920</v>
      </c>
      <c r="L72" s="16">
        <v>3400</v>
      </c>
      <c r="M72" s="17">
        <v>4.4800000000000004</v>
      </c>
      <c r="N72" s="17">
        <v>294.40000000000003</v>
      </c>
      <c r="O72" s="17">
        <v>4.2000000000000003E-2</v>
      </c>
      <c r="P72" s="17">
        <v>14.52</v>
      </c>
      <c r="Q72" s="17">
        <v>212</v>
      </c>
      <c r="R72" s="17">
        <v>279.83800000000008</v>
      </c>
      <c r="S72" s="17">
        <v>26.8</v>
      </c>
      <c r="T72" s="17">
        <v>48.1</v>
      </c>
      <c r="U72" s="5"/>
      <c r="V72" s="23" t="s">
        <v>360</v>
      </c>
      <c r="W72" s="22">
        <v>110.50000000000011</v>
      </c>
      <c r="X72" s="22">
        <v>36.496551724137895</v>
      </c>
      <c r="Y72" s="12">
        <v>33.02855359650485</v>
      </c>
      <c r="Z72" s="3">
        <v>41.006896551724139</v>
      </c>
      <c r="AA72" s="3">
        <v>72.894736842105274</v>
      </c>
      <c r="AB72" s="3">
        <v>39.473684210526358</v>
      </c>
      <c r="AC72" s="3">
        <v>0.5415162454873651</v>
      </c>
    </row>
    <row r="73" spans="1:29" x14ac:dyDescent="0.35">
      <c r="A73" s="2" t="s">
        <v>253</v>
      </c>
      <c r="B73" s="2" t="s">
        <v>272</v>
      </c>
      <c r="C73" s="13">
        <v>45307</v>
      </c>
      <c r="D73" s="2" t="s">
        <v>9</v>
      </c>
      <c r="E73" s="10">
        <v>0</v>
      </c>
      <c r="F73" s="10">
        <v>24.581</v>
      </c>
      <c r="G73" s="5">
        <v>1.2949999999999999</v>
      </c>
      <c r="H73" s="5">
        <v>6.94</v>
      </c>
      <c r="I73" s="10">
        <v>-259</v>
      </c>
      <c r="J73" s="6">
        <v>1021</v>
      </c>
      <c r="K73" s="16">
        <v>681</v>
      </c>
      <c r="L73" s="16">
        <v>202</v>
      </c>
      <c r="M73" s="17">
        <v>4.4999999999999998E-2</v>
      </c>
      <c r="N73" s="17">
        <v>612</v>
      </c>
      <c r="O73" s="17">
        <v>0.01</v>
      </c>
      <c r="P73" s="17">
        <v>12.98</v>
      </c>
      <c r="Q73" s="17">
        <v>105</v>
      </c>
      <c r="R73" s="17">
        <v>599.01</v>
      </c>
      <c r="S73" s="17">
        <v>9.42</v>
      </c>
      <c r="T73" s="17">
        <v>11.6</v>
      </c>
      <c r="U73" s="5"/>
      <c r="V73" s="23" t="s">
        <v>361</v>
      </c>
      <c r="W73" s="22">
        <v>0.64193548387096155</v>
      </c>
      <c r="X73" s="22">
        <v>0.2451612903224677</v>
      </c>
      <c r="Y73" s="12">
        <v>38.19095477385212</v>
      </c>
      <c r="Z73" s="3">
        <v>0</v>
      </c>
      <c r="AA73" s="3">
        <v>0.15789473684210539</v>
      </c>
      <c r="AB73" s="3">
        <v>0.14736842105263143</v>
      </c>
      <c r="AC73" s="3">
        <v>0.93333333333333157</v>
      </c>
    </row>
    <row r="74" spans="1:29" x14ac:dyDescent="0.35">
      <c r="A74" s="2" t="s">
        <v>253</v>
      </c>
      <c r="B74" s="2" t="s">
        <v>272</v>
      </c>
      <c r="C74" s="13">
        <v>45307</v>
      </c>
      <c r="D74" s="2" t="s">
        <v>10</v>
      </c>
      <c r="E74" s="10">
        <v>1</v>
      </c>
      <c r="F74" s="10">
        <v>24.698</v>
      </c>
      <c r="G74" s="5">
        <v>0.13500000000000001</v>
      </c>
      <c r="H74" s="5">
        <v>6.56</v>
      </c>
      <c r="I74" s="10">
        <v>-240</v>
      </c>
      <c r="J74" s="6">
        <v>1151</v>
      </c>
      <c r="K74" s="16">
        <v>54200</v>
      </c>
      <c r="L74" s="16">
        <v>1646</v>
      </c>
      <c r="M74" s="17">
        <v>0</v>
      </c>
      <c r="N74" s="17">
        <v>492</v>
      </c>
      <c r="O74" s="17">
        <v>3.6999999999999998E-2</v>
      </c>
      <c r="P74" s="17">
        <v>93.4</v>
      </c>
      <c r="Q74" s="17">
        <v>193.79999999999998</v>
      </c>
      <c r="R74" s="17">
        <v>398.56299999999999</v>
      </c>
      <c r="S74" s="17">
        <v>3.55</v>
      </c>
      <c r="T74" s="17">
        <v>35</v>
      </c>
      <c r="U74" s="5"/>
      <c r="V74" s="23" t="s">
        <v>362</v>
      </c>
      <c r="W74" s="22">
        <v>79.343333333333277</v>
      </c>
      <c r="X74" s="22">
        <v>45.116666666666561</v>
      </c>
      <c r="Y74" s="12">
        <v>56.86258034701499</v>
      </c>
      <c r="Z74" s="3">
        <v>18.63</v>
      </c>
      <c r="AA74" s="3">
        <v>20.857142857142858</v>
      </c>
      <c r="AB74" s="3">
        <v>14.428571428571427</v>
      </c>
      <c r="AC74" s="3">
        <v>0.6917808219178081</v>
      </c>
    </row>
    <row r="75" spans="1:29" x14ac:dyDescent="0.35">
      <c r="A75" s="2" t="s">
        <v>253</v>
      </c>
      <c r="B75" s="2" t="s">
        <v>272</v>
      </c>
      <c r="C75" s="13">
        <v>45307</v>
      </c>
      <c r="D75" s="2" t="s">
        <v>11</v>
      </c>
      <c r="E75" s="10">
        <v>2.0499999999999998</v>
      </c>
      <c r="F75" s="10">
        <v>24.826000000000001</v>
      </c>
      <c r="G75" s="5">
        <v>7.6999999999999999E-2</v>
      </c>
      <c r="H75" s="5">
        <v>6.51</v>
      </c>
      <c r="I75" s="10">
        <v>-234</v>
      </c>
      <c r="J75" s="6">
        <v>1258</v>
      </c>
      <c r="K75" s="16">
        <v>45710</v>
      </c>
      <c r="L75" s="16">
        <v>4580</v>
      </c>
      <c r="M75" s="17">
        <v>28</v>
      </c>
      <c r="N75" s="17">
        <v>2086</v>
      </c>
      <c r="O75" s="17">
        <v>8.3000000000000004E-2</v>
      </c>
      <c r="P75" s="17">
        <v>55.599999999999994</v>
      </c>
      <c r="Q75" s="17">
        <v>361</v>
      </c>
      <c r="R75" s="17">
        <v>2030.317</v>
      </c>
      <c r="S75" s="17">
        <v>1.29</v>
      </c>
      <c r="T75" s="17">
        <v>345</v>
      </c>
      <c r="U75" s="5">
        <v>5439.9999999999991</v>
      </c>
      <c r="V75" s="23" t="s">
        <v>363</v>
      </c>
      <c r="W75" s="22">
        <v>216.45199134199115</v>
      </c>
      <c r="X75" s="22">
        <v>71.653376623376687</v>
      </c>
      <c r="Y75" s="12">
        <v>33.358970592360883</v>
      </c>
      <c r="Z75" s="3">
        <v>119.14662337662338</v>
      </c>
      <c r="AA75" s="3">
        <v>28.46560846560844</v>
      </c>
      <c r="AB75" s="3">
        <v>17.140211640211657</v>
      </c>
      <c r="AC75" s="3">
        <v>0.60213754646840256</v>
      </c>
    </row>
    <row r="76" spans="1:29" x14ac:dyDescent="0.35">
      <c r="A76" s="2" t="s">
        <v>254</v>
      </c>
      <c r="B76" s="2" t="s">
        <v>273</v>
      </c>
      <c r="C76" s="13">
        <v>45307</v>
      </c>
      <c r="D76" s="2" t="s">
        <v>9</v>
      </c>
      <c r="E76" s="10">
        <v>0</v>
      </c>
      <c r="F76" s="10">
        <v>25.102</v>
      </c>
      <c r="G76" s="5">
        <v>0.17599999999999999</v>
      </c>
      <c r="H76" s="5">
        <v>6.8</v>
      </c>
      <c r="I76" s="10">
        <v>-254</v>
      </c>
      <c r="J76" s="6">
        <v>812</v>
      </c>
      <c r="K76" s="16">
        <v>486</v>
      </c>
      <c r="L76" s="16">
        <v>131</v>
      </c>
      <c r="M76" s="17"/>
      <c r="N76" s="17">
        <v>346</v>
      </c>
      <c r="O76" s="17">
        <v>1.7000000000000001E-2</v>
      </c>
      <c r="P76" s="17">
        <v>8.68</v>
      </c>
      <c r="Q76" s="17">
        <v>61</v>
      </c>
      <c r="R76" s="17">
        <v>337.303</v>
      </c>
      <c r="S76" s="17">
        <v>6.84</v>
      </c>
      <c r="T76" s="17">
        <v>9.39</v>
      </c>
      <c r="U76" s="5">
        <v>1016</v>
      </c>
      <c r="V76" s="23" t="s">
        <v>364</v>
      </c>
      <c r="W76" s="22">
        <v>0.60303030303029714</v>
      </c>
      <c r="X76" s="22">
        <v>0.19999999999996451</v>
      </c>
      <c r="Y76" s="12">
        <v>33.16582914572308</v>
      </c>
      <c r="Z76" s="3">
        <v>0</v>
      </c>
      <c r="AA76" s="3">
        <v>0.15000000000000047</v>
      </c>
      <c r="AB76" s="3">
        <v>0.13888888888888901</v>
      </c>
      <c r="AC76" s="3">
        <v>0.92592592592592382</v>
      </c>
    </row>
    <row r="77" spans="1:29" x14ac:dyDescent="0.35">
      <c r="A77" s="2" t="s">
        <v>254</v>
      </c>
      <c r="B77" s="2" t="s">
        <v>273</v>
      </c>
      <c r="C77" s="13">
        <v>45307</v>
      </c>
      <c r="D77" s="2" t="s">
        <v>10</v>
      </c>
      <c r="E77" s="10">
        <v>1</v>
      </c>
      <c r="F77" s="10">
        <v>25.114000000000001</v>
      </c>
      <c r="G77" s="5">
        <v>7.6999999999999999E-2</v>
      </c>
      <c r="H77" s="5">
        <v>6.73</v>
      </c>
      <c r="I77" s="10">
        <v>-273</v>
      </c>
      <c r="J77" s="6">
        <v>816</v>
      </c>
      <c r="K77" s="16">
        <v>40680</v>
      </c>
      <c r="L77" s="16">
        <v>2340</v>
      </c>
      <c r="M77" s="17">
        <v>1.26</v>
      </c>
      <c r="N77" s="17">
        <v>1924</v>
      </c>
      <c r="O77" s="17">
        <v>6.2E-2</v>
      </c>
      <c r="P77" s="17">
        <v>23.2</v>
      </c>
      <c r="Q77" s="17">
        <v>72.599999999999994</v>
      </c>
      <c r="R77" s="17">
        <v>1900.7380000000001</v>
      </c>
      <c r="S77" s="17">
        <v>4.6399999999999997</v>
      </c>
      <c r="T77" s="17">
        <v>278</v>
      </c>
      <c r="U77" s="5">
        <v>2375</v>
      </c>
      <c r="V77" s="23" t="s">
        <v>365</v>
      </c>
      <c r="W77" s="22">
        <v>48.758620689655217</v>
      </c>
      <c r="X77" s="22">
        <v>26.93103448275858</v>
      </c>
      <c r="Y77" s="12">
        <v>55.233380480905105</v>
      </c>
      <c r="Z77" s="3">
        <v>19.117241379310343</v>
      </c>
      <c r="AA77" s="3">
        <v>14.461538461538492</v>
      </c>
      <c r="AB77" s="3">
        <v>9.6923076923076916</v>
      </c>
      <c r="AC77" s="3">
        <v>0.67021276595744539</v>
      </c>
    </row>
    <row r="78" spans="1:29" x14ac:dyDescent="0.35">
      <c r="A78" s="2" t="s">
        <v>254</v>
      </c>
      <c r="B78" s="2" t="s">
        <v>273</v>
      </c>
      <c r="C78" s="13">
        <v>45307</v>
      </c>
      <c r="D78" s="2" t="s">
        <v>11</v>
      </c>
      <c r="E78" s="10">
        <v>2.0499999999999998</v>
      </c>
      <c r="F78" s="10">
        <v>25.082999999999998</v>
      </c>
      <c r="G78" s="5">
        <v>0.17699999999999999</v>
      </c>
      <c r="H78" s="5">
        <v>6.66</v>
      </c>
      <c r="I78" s="10">
        <v>-326</v>
      </c>
      <c r="J78" s="6">
        <v>680</v>
      </c>
      <c r="K78" s="16">
        <v>55660</v>
      </c>
      <c r="L78" s="16">
        <v>3300</v>
      </c>
      <c r="M78" s="17">
        <v>2.06</v>
      </c>
      <c r="N78" s="17">
        <v>944</v>
      </c>
      <c r="O78" s="17">
        <v>7.0000000000000007E-2</v>
      </c>
      <c r="P78" s="17">
        <v>19.579999999999998</v>
      </c>
      <c r="Q78" s="17">
        <v>115.39999999999999</v>
      </c>
      <c r="R78" s="17">
        <v>924.34999999999991</v>
      </c>
      <c r="S78" s="17">
        <v>5.45</v>
      </c>
      <c r="T78" s="17">
        <v>388</v>
      </c>
      <c r="U78" s="5">
        <v>685</v>
      </c>
      <c r="V78" s="23" t="s">
        <v>366</v>
      </c>
      <c r="W78" s="22">
        <v>136.87692307692299</v>
      </c>
      <c r="X78" s="22">
        <v>49.011538461538329</v>
      </c>
      <c r="Y78" s="12">
        <v>35.807013600089846</v>
      </c>
      <c r="Z78" s="3">
        <v>78.607692307692304</v>
      </c>
      <c r="AA78" s="3">
        <v>30.000000000000103</v>
      </c>
      <c r="AB78" s="3">
        <v>20.909090909091006</v>
      </c>
      <c r="AC78" s="3">
        <v>0.69696969696969779</v>
      </c>
    </row>
    <row r="79" spans="1:29" x14ac:dyDescent="0.35">
      <c r="A79" s="2" t="s">
        <v>255</v>
      </c>
      <c r="B79" s="2" t="s">
        <v>274</v>
      </c>
      <c r="C79" s="13">
        <v>45313</v>
      </c>
      <c r="D79" s="2" t="s">
        <v>9</v>
      </c>
      <c r="E79" s="10">
        <v>0</v>
      </c>
      <c r="F79" s="10">
        <v>24.568999999999999</v>
      </c>
      <c r="G79" s="5">
        <v>0.20699999999999999</v>
      </c>
      <c r="H79" s="5">
        <v>6.8</v>
      </c>
      <c r="I79" s="10">
        <v>-153</v>
      </c>
      <c r="J79" s="6">
        <v>1038</v>
      </c>
      <c r="K79" s="16">
        <v>942</v>
      </c>
      <c r="L79" s="16">
        <v>155</v>
      </c>
      <c r="M79" s="17">
        <v>0</v>
      </c>
      <c r="N79" s="17">
        <v>158.80000000000001</v>
      </c>
      <c r="O79" s="17">
        <v>2.1000000000000001E-2</v>
      </c>
      <c r="P79" s="17">
        <v>0.39800000000000002</v>
      </c>
      <c r="Q79" s="17">
        <v>91.6</v>
      </c>
      <c r="R79" s="17">
        <v>158.38100000000003</v>
      </c>
      <c r="S79" s="17">
        <v>8.69</v>
      </c>
      <c r="T79" s="17">
        <v>14.3</v>
      </c>
      <c r="U79" s="5">
        <v>296.00000000000006</v>
      </c>
      <c r="V79" s="23" t="s">
        <v>367</v>
      </c>
      <c r="W79" s="22">
        <v>1.1862068965516548</v>
      </c>
      <c r="X79" s="22">
        <v>0.69310344827583936</v>
      </c>
      <c r="Y79" s="12">
        <v>58.430232558141036</v>
      </c>
      <c r="Z79" s="3">
        <v>0</v>
      </c>
      <c r="AA79" s="3">
        <v>0.41249999999999964</v>
      </c>
      <c r="AB79" s="3">
        <v>0.3687499999999993</v>
      </c>
      <c r="AC79" s="3">
        <v>0.89393939393939303</v>
      </c>
    </row>
    <row r="80" spans="1:29" x14ac:dyDescent="0.35">
      <c r="A80" s="2" t="s">
        <v>255</v>
      </c>
      <c r="B80" s="2" t="s">
        <v>274</v>
      </c>
      <c r="C80" s="13">
        <v>45313</v>
      </c>
      <c r="D80" s="2" t="s">
        <v>10</v>
      </c>
      <c r="E80" s="10">
        <v>1.35</v>
      </c>
      <c r="F80" s="10">
        <v>24.574999999999999</v>
      </c>
      <c r="G80" s="5">
        <v>0.107</v>
      </c>
      <c r="H80" s="5">
        <v>6.82</v>
      </c>
      <c r="I80" s="10">
        <v>-175</v>
      </c>
      <c r="J80" s="6">
        <v>1031</v>
      </c>
      <c r="K80" s="16">
        <v>944</v>
      </c>
      <c r="L80" s="16">
        <v>136</v>
      </c>
      <c r="M80" s="17">
        <v>0</v>
      </c>
      <c r="N80" s="17">
        <v>820</v>
      </c>
      <c r="O80" s="17">
        <v>8.9999999999999993E-3</v>
      </c>
      <c r="P80" s="17">
        <v>0.254</v>
      </c>
      <c r="Q80" s="17">
        <v>79.800000000000011</v>
      </c>
      <c r="R80" s="17">
        <v>819.73699999999997</v>
      </c>
      <c r="S80" s="17">
        <v>5.25</v>
      </c>
      <c r="T80" s="17">
        <v>14.2</v>
      </c>
      <c r="U80" s="5">
        <v>260.00000000000006</v>
      </c>
      <c r="V80" s="23" t="s">
        <v>368</v>
      </c>
      <c r="W80" s="22">
        <v>1.2645161290320615</v>
      </c>
      <c r="X80" s="22">
        <v>0.70967741935478923</v>
      </c>
      <c r="Y80" s="12">
        <v>56.122448979596648</v>
      </c>
      <c r="Z80" s="3">
        <v>0.11290322580645171</v>
      </c>
      <c r="AA80" s="3">
        <v>0.53333333333333377</v>
      </c>
      <c r="AB80" s="3">
        <v>0.44666666666666743</v>
      </c>
      <c r="AC80" s="3">
        <v>0.8375000000000008</v>
      </c>
    </row>
    <row r="81" spans="1:29" x14ac:dyDescent="0.35">
      <c r="A81" s="2" t="s">
        <v>255</v>
      </c>
      <c r="B81" s="2" t="s">
        <v>274</v>
      </c>
      <c r="C81" s="13">
        <v>45313</v>
      </c>
      <c r="D81" s="2" t="s">
        <v>11</v>
      </c>
      <c r="E81" s="10">
        <v>2.7</v>
      </c>
      <c r="F81" s="10">
        <v>24.483000000000001</v>
      </c>
      <c r="G81" s="5">
        <v>6.3E-2</v>
      </c>
      <c r="H81" s="5">
        <v>6.57</v>
      </c>
      <c r="I81" s="10">
        <v>-204</v>
      </c>
      <c r="J81" s="6">
        <v>1572</v>
      </c>
      <c r="K81" s="16">
        <v>10700</v>
      </c>
      <c r="L81" s="16">
        <v>1692</v>
      </c>
      <c r="M81" s="17">
        <v>1E-3</v>
      </c>
      <c r="N81" s="17">
        <v>472</v>
      </c>
      <c r="O81" s="17">
        <v>3.5000000000000003E-2</v>
      </c>
      <c r="P81" s="17">
        <v>0.57199999999999995</v>
      </c>
      <c r="Q81" s="17">
        <v>113.2</v>
      </c>
      <c r="R81" s="17">
        <v>471.39299999999997</v>
      </c>
      <c r="S81" s="17">
        <v>10.600000000000001</v>
      </c>
      <c r="T81" s="17">
        <v>74</v>
      </c>
      <c r="U81" s="5">
        <v>2103.3333333333335</v>
      </c>
      <c r="V81" s="23" t="s">
        <v>369</v>
      </c>
      <c r="W81" s="22">
        <v>4.5483870967743663</v>
      </c>
      <c r="X81" s="22">
        <v>2.8677419354839491</v>
      </c>
      <c r="Y81" s="12">
        <v>63.049645390070239</v>
      </c>
      <c r="Z81" s="3">
        <v>1.1387096774193548</v>
      </c>
      <c r="AA81" s="3">
        <v>3.3714285714285728</v>
      </c>
      <c r="AB81" s="3">
        <v>2.1000000000000028</v>
      </c>
      <c r="AC81" s="3">
        <v>0.62288135593220395</v>
      </c>
    </row>
    <row r="82" spans="1:29" x14ac:dyDescent="0.35">
      <c r="A82" s="2" t="s">
        <v>256</v>
      </c>
      <c r="B82" s="2" t="s">
        <v>275</v>
      </c>
      <c r="C82" s="13">
        <v>45314</v>
      </c>
      <c r="D82" s="2" t="s">
        <v>9</v>
      </c>
      <c r="E82" s="10">
        <v>0</v>
      </c>
      <c r="F82" s="10">
        <v>23.773</v>
      </c>
      <c r="G82" s="5">
        <v>0.96699999999999997</v>
      </c>
      <c r="H82" s="5">
        <v>7.01</v>
      </c>
      <c r="I82" s="10">
        <v>-228</v>
      </c>
      <c r="J82" s="6">
        <v>1259</v>
      </c>
      <c r="K82" s="16">
        <v>384</v>
      </c>
      <c r="L82" s="16">
        <v>168</v>
      </c>
      <c r="M82" s="17">
        <v>0</v>
      </c>
      <c r="N82" s="17">
        <v>1046</v>
      </c>
      <c r="O82" s="17">
        <v>0.2</v>
      </c>
      <c r="P82" s="17">
        <v>0.32800000000000001</v>
      </c>
      <c r="Q82" s="17">
        <v>98.9</v>
      </c>
      <c r="R82" s="17">
        <v>1045.472</v>
      </c>
      <c r="S82" s="17">
        <v>11</v>
      </c>
      <c r="T82" s="17">
        <v>15.1</v>
      </c>
      <c r="U82" s="5">
        <v>236.00000000000003</v>
      </c>
      <c r="V82" s="23" t="s">
        <v>370</v>
      </c>
      <c r="W82" s="22">
        <v>0.70909090909097905</v>
      </c>
      <c r="X82" s="22">
        <v>0.32121212121201853</v>
      </c>
      <c r="Y82" s="12">
        <v>45.299145299126344</v>
      </c>
      <c r="Z82" s="3">
        <v>0</v>
      </c>
      <c r="AA82" s="3">
        <v>8.4210526315790429E-2</v>
      </c>
      <c r="AB82" s="3">
        <v>0.16315789473684167</v>
      </c>
      <c r="AC82" s="3">
        <v>1.9374999999999729</v>
      </c>
    </row>
    <row r="83" spans="1:29" x14ac:dyDescent="0.35">
      <c r="A83" s="2" t="s">
        <v>256</v>
      </c>
      <c r="B83" s="2" t="s">
        <v>275</v>
      </c>
      <c r="C83" s="13">
        <v>45314</v>
      </c>
      <c r="D83" s="2" t="s">
        <v>10</v>
      </c>
      <c r="E83" s="10">
        <v>0.7</v>
      </c>
      <c r="F83" s="10">
        <v>23.760999999999999</v>
      </c>
      <c r="G83" s="5">
        <v>0.17599999999999999</v>
      </c>
      <c r="H83" s="5">
        <v>6.96</v>
      </c>
      <c r="I83" s="10">
        <v>-241</v>
      </c>
      <c r="J83" s="6">
        <v>1258</v>
      </c>
      <c r="K83" s="16">
        <v>428</v>
      </c>
      <c r="L83" s="16">
        <v>164</v>
      </c>
      <c r="M83" s="17">
        <v>0</v>
      </c>
      <c r="N83" s="17">
        <v>340</v>
      </c>
      <c r="O83" s="17">
        <v>1.4999999999999999E-2</v>
      </c>
      <c r="P83" s="17">
        <v>0.33900000000000002</v>
      </c>
      <c r="Q83" s="17">
        <v>113</v>
      </c>
      <c r="R83" s="17">
        <v>339.64600000000002</v>
      </c>
      <c r="S83" s="17">
        <v>11.3</v>
      </c>
      <c r="T83" s="17">
        <v>14.9</v>
      </c>
      <c r="U83" s="5">
        <v>294.00000000000006</v>
      </c>
      <c r="V83" s="23" t="s">
        <v>371</v>
      </c>
      <c r="W83" s="22">
        <v>0.71999999999997988</v>
      </c>
      <c r="X83" s="22">
        <v>0.33999999999991815</v>
      </c>
      <c r="Y83" s="12">
        <v>47.222222222212174</v>
      </c>
      <c r="Z83" s="3">
        <v>0</v>
      </c>
      <c r="AA83" s="3">
        <v>9.000000000000119E-2</v>
      </c>
      <c r="AB83" s="3">
        <v>0.14500000000000068</v>
      </c>
      <c r="AC83" s="3">
        <v>1.6111111111110974</v>
      </c>
    </row>
    <row r="84" spans="1:29" x14ac:dyDescent="0.35">
      <c r="A84" s="2" t="s">
        <v>256</v>
      </c>
      <c r="B84" s="2" t="s">
        <v>275</v>
      </c>
      <c r="C84" s="13">
        <v>45314</v>
      </c>
      <c r="D84" s="2" t="s">
        <v>11</v>
      </c>
      <c r="E84" s="10">
        <v>1.85</v>
      </c>
      <c r="F84" s="10">
        <v>23.908000000000001</v>
      </c>
      <c r="G84" s="5">
        <v>7.9000000000000001E-2</v>
      </c>
      <c r="H84" s="5">
        <v>6.63</v>
      </c>
      <c r="I84" s="10">
        <v>-223</v>
      </c>
      <c r="J84" s="6">
        <v>2079</v>
      </c>
      <c r="K84" s="16">
        <v>27540</v>
      </c>
      <c r="L84" s="16">
        <v>1570</v>
      </c>
      <c r="M84" s="17">
        <v>0</v>
      </c>
      <c r="N84" s="17">
        <v>932</v>
      </c>
      <c r="O84" s="17">
        <v>0.54</v>
      </c>
      <c r="P84" s="17">
        <v>1.6600000000000001</v>
      </c>
      <c r="Q84" s="17">
        <v>181</v>
      </c>
      <c r="R84" s="17">
        <v>929.80000000000007</v>
      </c>
      <c r="S84" s="17">
        <v>21.6</v>
      </c>
      <c r="T84" s="17">
        <v>480</v>
      </c>
      <c r="U84" s="5">
        <v>4746.666666666667</v>
      </c>
      <c r="V84" s="23" t="s">
        <v>372</v>
      </c>
      <c r="W84" s="22">
        <v>37.889841269841206</v>
      </c>
      <c r="X84" s="22">
        <v>18.475476190476211</v>
      </c>
      <c r="Y84" s="12">
        <v>48.827300851890392</v>
      </c>
      <c r="Z84" s="3">
        <v>16.925952380952381</v>
      </c>
      <c r="AA84" s="3">
        <v>16.724999999999984</v>
      </c>
      <c r="AB84" s="3">
        <v>11.924999999999985</v>
      </c>
      <c r="AC84" s="3">
        <v>0.71300448430493257</v>
      </c>
    </row>
    <row r="85" spans="1:29" x14ac:dyDescent="0.35">
      <c r="A85" s="2" t="s">
        <v>257</v>
      </c>
      <c r="B85" s="2" t="s">
        <v>276</v>
      </c>
      <c r="C85" s="13">
        <v>45320</v>
      </c>
      <c r="D85" s="2" t="s">
        <v>9</v>
      </c>
      <c r="E85" s="10">
        <v>0</v>
      </c>
      <c r="F85" s="10">
        <v>23.59</v>
      </c>
      <c r="G85" s="5">
        <v>0.50700000000000001</v>
      </c>
      <c r="H85" s="5">
        <v>7.42</v>
      </c>
      <c r="I85" s="10">
        <v>-258</v>
      </c>
      <c r="J85" s="6">
        <v>2092</v>
      </c>
      <c r="K85" s="16">
        <v>668</v>
      </c>
      <c r="L85" s="16">
        <v>188</v>
      </c>
      <c r="M85" s="17">
        <v>1.01</v>
      </c>
      <c r="N85" s="17">
        <v>1182</v>
      </c>
      <c r="O85" s="17">
        <v>4.9000000000000002E-2</v>
      </c>
      <c r="P85" s="17">
        <v>17.8</v>
      </c>
      <c r="Q85" s="17">
        <v>276</v>
      </c>
      <c r="R85" s="17">
        <v>1164.1510000000001</v>
      </c>
      <c r="S85" s="17">
        <v>21.6</v>
      </c>
      <c r="T85" s="17">
        <v>23.6</v>
      </c>
      <c r="U85" s="5">
        <v>108.99999999999999</v>
      </c>
      <c r="V85" s="23" t="s">
        <v>373</v>
      </c>
      <c r="W85" s="22">
        <v>0.87419354838700769</v>
      </c>
      <c r="X85" s="22">
        <v>0.30967741935480458</v>
      </c>
      <c r="Y85" s="12">
        <v>35.424354243542147</v>
      </c>
      <c r="Z85" s="3">
        <v>0</v>
      </c>
      <c r="AA85" s="3">
        <v>0.20499999999999963</v>
      </c>
      <c r="AB85" s="3">
        <v>0.20499999999999963</v>
      </c>
      <c r="AC85" s="3">
        <v>1</v>
      </c>
    </row>
    <row r="86" spans="1:29" x14ac:dyDescent="0.35">
      <c r="A86" s="2" t="s">
        <v>257</v>
      </c>
      <c r="B86" s="2" t="s">
        <v>276</v>
      </c>
      <c r="C86" s="13">
        <v>45320</v>
      </c>
      <c r="D86" s="2" t="s">
        <v>10</v>
      </c>
      <c r="E86" s="10">
        <v>0.5</v>
      </c>
      <c r="F86" s="10">
        <v>23.59</v>
      </c>
      <c r="G86" s="5">
        <v>0.187</v>
      </c>
      <c r="H86" s="5">
        <v>7.39</v>
      </c>
      <c r="I86" s="10">
        <v>-275</v>
      </c>
      <c r="J86" s="6">
        <v>2092</v>
      </c>
      <c r="K86" s="16">
        <v>15440</v>
      </c>
      <c r="L86" s="16">
        <v>812</v>
      </c>
      <c r="M86" s="17">
        <v>1.28</v>
      </c>
      <c r="N86" s="17">
        <v>3870.0000000000005</v>
      </c>
      <c r="O86" s="17">
        <v>5.2999999999999999E-2</v>
      </c>
      <c r="P86" s="17">
        <v>18</v>
      </c>
      <c r="Q86" s="17">
        <v>504</v>
      </c>
      <c r="R86" s="17">
        <v>3851.9470000000006</v>
      </c>
      <c r="S86" s="17">
        <v>23.599999999999998</v>
      </c>
      <c r="T86" s="17">
        <v>131.80000000000001</v>
      </c>
      <c r="U86" s="5">
        <v>795.00000000000034</v>
      </c>
      <c r="V86" s="23" t="s">
        <v>374</v>
      </c>
      <c r="W86" s="22">
        <v>10.465624999999923</v>
      </c>
      <c r="X86" s="22">
        <v>7.5499999999999456</v>
      </c>
      <c r="Y86" s="12">
        <v>72.140937593311449</v>
      </c>
      <c r="Z86" s="3">
        <v>1.2781249999999997</v>
      </c>
      <c r="AA86" s="3">
        <v>5.2380952380952426</v>
      </c>
      <c r="AB86" s="3">
        <v>5.2380952380952426</v>
      </c>
      <c r="AC86" s="3">
        <v>1</v>
      </c>
    </row>
    <row r="87" spans="1:29" x14ac:dyDescent="0.35">
      <c r="A87" s="2" t="s">
        <v>257</v>
      </c>
      <c r="B87" s="2" t="s">
        <v>276</v>
      </c>
      <c r="C87" s="13">
        <v>45320</v>
      </c>
      <c r="D87" s="2" t="s">
        <v>11</v>
      </c>
      <c r="E87" s="10">
        <v>1.05</v>
      </c>
      <c r="F87" s="10">
        <v>23.62</v>
      </c>
      <c r="G87" s="5">
        <v>0.107</v>
      </c>
      <c r="H87" s="5">
        <v>7.2</v>
      </c>
      <c r="I87" s="10">
        <v>-295</v>
      </c>
      <c r="J87" s="6">
        <v>1885</v>
      </c>
      <c r="U87" s="5"/>
      <c r="V87" s="24"/>
    </row>
    <row r="88" spans="1:29" x14ac:dyDescent="0.35">
      <c r="A88" s="2" t="s">
        <v>258</v>
      </c>
      <c r="B88" s="2" t="s">
        <v>277</v>
      </c>
      <c r="C88" s="13">
        <v>45320</v>
      </c>
      <c r="D88" s="2" t="s">
        <v>9</v>
      </c>
      <c r="E88" s="10">
        <v>0</v>
      </c>
      <c r="F88" s="10">
        <v>23.535</v>
      </c>
      <c r="G88" s="5">
        <v>9.5000000000000001E-2</v>
      </c>
      <c r="H88" s="5">
        <v>7.28</v>
      </c>
      <c r="I88" s="10">
        <v>-246</v>
      </c>
      <c r="J88" s="6">
        <v>1042</v>
      </c>
      <c r="K88" s="16">
        <v>358</v>
      </c>
      <c r="L88" s="16">
        <v>140</v>
      </c>
      <c r="M88" s="17">
        <v>0.97299999999999998</v>
      </c>
      <c r="N88" s="17">
        <v>1206</v>
      </c>
      <c r="O88" s="17">
        <v>0.03</v>
      </c>
      <c r="P88" s="17">
        <v>17.5</v>
      </c>
      <c r="Q88" s="17">
        <v>206</v>
      </c>
      <c r="R88" s="17">
        <v>1188.47</v>
      </c>
      <c r="S88" s="17">
        <v>8.0399999999999991</v>
      </c>
      <c r="T88" s="17">
        <v>11.8</v>
      </c>
      <c r="U88" s="5">
        <v>83</v>
      </c>
      <c r="V88" s="23" t="s">
        <v>375</v>
      </c>
      <c r="W88" s="22">
        <v>0.6062500000001414</v>
      </c>
      <c r="X88" s="22">
        <v>0.19999999999997797</v>
      </c>
      <c r="Y88" s="12">
        <v>32.989690721638162</v>
      </c>
      <c r="Z88" s="3">
        <v>0</v>
      </c>
      <c r="AA88" s="3">
        <v>7.5000000000000067E-2</v>
      </c>
      <c r="AB88" s="3">
        <v>7.5000000000000067E-2</v>
      </c>
      <c r="AC88" s="3">
        <v>1</v>
      </c>
    </row>
    <row r="89" spans="1:29" x14ac:dyDescent="0.35">
      <c r="A89" s="2" t="s">
        <v>258</v>
      </c>
      <c r="B89" s="2" t="s">
        <v>277</v>
      </c>
      <c r="C89" s="13">
        <v>45320</v>
      </c>
      <c r="D89" s="2" t="s">
        <v>10</v>
      </c>
      <c r="E89" s="10">
        <v>0.5</v>
      </c>
      <c r="F89" s="10">
        <v>23.527999999999999</v>
      </c>
      <c r="G89" s="5">
        <v>7.1999999999999995E-2</v>
      </c>
      <c r="H89" s="5">
        <v>7.08</v>
      </c>
      <c r="I89" s="10">
        <v>-245</v>
      </c>
      <c r="J89" s="6">
        <v>875</v>
      </c>
      <c r="K89" s="16">
        <v>36500</v>
      </c>
      <c r="L89" s="16">
        <v>960</v>
      </c>
      <c r="M89" s="17">
        <v>18.84</v>
      </c>
      <c r="N89" s="17">
        <v>1230</v>
      </c>
      <c r="O89" s="17">
        <v>0.74</v>
      </c>
      <c r="P89" s="17">
        <v>348</v>
      </c>
      <c r="Q89" s="17">
        <v>556</v>
      </c>
      <c r="R89" s="17">
        <v>881.26</v>
      </c>
      <c r="S89" s="17">
        <v>1.8399999999999999</v>
      </c>
      <c r="T89" s="17">
        <v>264</v>
      </c>
      <c r="U89" s="5">
        <v>2429.9999999999995</v>
      </c>
      <c r="V89" s="23" t="s">
        <v>376</v>
      </c>
      <c r="W89" s="22">
        <v>110.45000000000016</v>
      </c>
      <c r="X89" s="22">
        <v>21.309999999999718</v>
      </c>
      <c r="Y89" s="12">
        <v>19.293798098686906</v>
      </c>
      <c r="Z89" s="3">
        <v>83.83</v>
      </c>
      <c r="AA89" s="3">
        <v>56.400000000000006</v>
      </c>
      <c r="AB89" s="3">
        <v>12.6</v>
      </c>
      <c r="AC89" s="3">
        <v>0.2234042553191489</v>
      </c>
    </row>
    <row r="90" spans="1:29" x14ac:dyDescent="0.35">
      <c r="A90" s="2" t="s">
        <v>258</v>
      </c>
      <c r="B90" s="2" t="s">
        <v>277</v>
      </c>
      <c r="C90" s="13">
        <v>45320</v>
      </c>
      <c r="D90" s="2" t="s">
        <v>11</v>
      </c>
      <c r="E90" s="10">
        <v>1</v>
      </c>
      <c r="F90" s="10">
        <v>23.460999999999999</v>
      </c>
      <c r="G90" s="5">
        <v>7.0999999999999994E-2</v>
      </c>
      <c r="H90" s="5">
        <v>6.93</v>
      </c>
      <c r="I90" s="10">
        <v>-229</v>
      </c>
      <c r="J90" s="6">
        <v>878</v>
      </c>
      <c r="U90" s="5"/>
      <c r="V90" s="24"/>
    </row>
    <row r="91" spans="1:29" x14ac:dyDescent="0.35">
      <c r="A91" s="2" t="s">
        <v>259</v>
      </c>
      <c r="B91" s="2" t="s">
        <v>278</v>
      </c>
      <c r="C91" s="13">
        <v>45321</v>
      </c>
      <c r="D91" s="2" t="s">
        <v>9</v>
      </c>
      <c r="E91" s="10">
        <v>0</v>
      </c>
      <c r="F91" s="10">
        <v>23.192</v>
      </c>
      <c r="G91" s="5">
        <v>8.4000000000000005E-2</v>
      </c>
      <c r="H91" s="5">
        <v>6.98</v>
      </c>
      <c r="I91" s="10">
        <v>-292</v>
      </c>
      <c r="J91" s="6">
        <v>1251</v>
      </c>
      <c r="K91" s="16">
        <v>542</v>
      </c>
      <c r="L91" s="16">
        <v>279</v>
      </c>
      <c r="M91" s="17">
        <v>0.97199999999999998</v>
      </c>
      <c r="N91" s="17">
        <v>858</v>
      </c>
      <c r="O91" s="17">
        <v>2.4E-2</v>
      </c>
      <c r="P91" s="17">
        <v>17.7</v>
      </c>
      <c r="Q91" s="17">
        <v>257</v>
      </c>
      <c r="R91" s="17">
        <v>840.27599999999995</v>
      </c>
      <c r="S91" s="17">
        <v>10.3</v>
      </c>
      <c r="T91" s="17">
        <v>12.8</v>
      </c>
      <c r="U91" s="5">
        <v>340.00000000000006</v>
      </c>
      <c r="V91" s="23" t="s">
        <v>377</v>
      </c>
      <c r="W91" s="22">
        <v>0.75937499999989555</v>
      </c>
      <c r="X91" s="22">
        <v>0.37500000000001421</v>
      </c>
      <c r="Y91" s="12">
        <v>49.382716049391377</v>
      </c>
      <c r="Z91" s="3">
        <v>0</v>
      </c>
      <c r="AA91" s="3">
        <v>0.21000000000000046</v>
      </c>
      <c r="AB91" s="3">
        <v>0.18500000000000044</v>
      </c>
      <c r="AC91" s="3">
        <v>0.88095238095238115</v>
      </c>
    </row>
    <row r="92" spans="1:29" x14ac:dyDescent="0.35">
      <c r="A92" s="2" t="s">
        <v>259</v>
      </c>
      <c r="B92" s="2" t="s">
        <v>278</v>
      </c>
      <c r="C92" s="13">
        <v>45321</v>
      </c>
      <c r="D92" s="2" t="s">
        <v>10</v>
      </c>
      <c r="E92" s="10">
        <v>1.18</v>
      </c>
      <c r="F92" s="10">
        <v>23.18</v>
      </c>
      <c r="G92" s="5">
        <v>8.4000000000000005E-2</v>
      </c>
      <c r="H92" s="5">
        <v>6.91</v>
      </c>
      <c r="I92" s="10">
        <v>-301</v>
      </c>
      <c r="J92" s="6">
        <v>1194</v>
      </c>
      <c r="K92" s="16">
        <v>516</v>
      </c>
      <c r="L92" s="16">
        <v>300</v>
      </c>
      <c r="M92" s="17">
        <v>0.995</v>
      </c>
      <c r="N92" s="17">
        <v>172.8</v>
      </c>
      <c r="O92" s="17">
        <v>3.5000000000000003E-2</v>
      </c>
      <c r="P92" s="17">
        <v>17.7</v>
      </c>
      <c r="Q92" s="17">
        <v>237</v>
      </c>
      <c r="R92" s="17">
        <v>155.06500000000003</v>
      </c>
      <c r="S92" s="17">
        <v>9.76</v>
      </c>
      <c r="T92" s="17">
        <v>12.8</v>
      </c>
      <c r="U92" s="5">
        <v>255.99999999999994</v>
      </c>
      <c r="V92" s="23" t="s">
        <v>378</v>
      </c>
      <c r="W92" s="22">
        <v>0.75333333333347241</v>
      </c>
      <c r="X92" s="22">
        <v>0.32000000000020162</v>
      </c>
      <c r="Y92" s="12">
        <v>42.477876106213614</v>
      </c>
      <c r="Z92" s="3">
        <v>0</v>
      </c>
      <c r="AA92" s="3">
        <v>0.16499999999999987</v>
      </c>
      <c r="AB92" s="3">
        <v>0.16499999999999987</v>
      </c>
      <c r="AC92" s="3">
        <v>1</v>
      </c>
    </row>
    <row r="93" spans="1:29" x14ac:dyDescent="0.35">
      <c r="A93" s="2" t="s">
        <v>259</v>
      </c>
      <c r="B93" s="2" t="s">
        <v>278</v>
      </c>
      <c r="C93" s="13">
        <v>45321</v>
      </c>
      <c r="D93" s="2" t="s">
        <v>11</v>
      </c>
      <c r="E93" s="10">
        <v>2.34</v>
      </c>
      <c r="F93" s="10">
        <v>23.186</v>
      </c>
      <c r="G93" s="5">
        <v>8.3000000000000004E-2</v>
      </c>
      <c r="H93" s="5">
        <v>6.61</v>
      </c>
      <c r="I93" s="10">
        <v>-282</v>
      </c>
      <c r="J93" s="6">
        <v>1646</v>
      </c>
      <c r="K93" s="16">
        <v>24760</v>
      </c>
      <c r="L93" s="16">
        <v>998</v>
      </c>
      <c r="M93" s="17">
        <v>18.919999999999998</v>
      </c>
      <c r="N93" s="17">
        <v>1010</v>
      </c>
      <c r="O93" s="17">
        <v>0.34</v>
      </c>
      <c r="P93" s="17">
        <v>346</v>
      </c>
      <c r="Q93" s="17">
        <v>414</v>
      </c>
      <c r="R93" s="17">
        <v>663.66</v>
      </c>
      <c r="S93" s="17">
        <v>15.280000000000001</v>
      </c>
      <c r="T93" s="17">
        <v>159.80000000000001</v>
      </c>
      <c r="U93" s="5">
        <v>3620</v>
      </c>
      <c r="V93" s="23" t="s">
        <v>379</v>
      </c>
      <c r="W93" s="22">
        <v>27.085714285714094</v>
      </c>
      <c r="X93" s="22">
        <v>19.414285714285636</v>
      </c>
      <c r="Y93" s="12">
        <v>71.67721518987365</v>
      </c>
      <c r="Z93" s="3">
        <v>4.5785714285714283</v>
      </c>
      <c r="AA93" s="3">
        <v>10.761904761904766</v>
      </c>
      <c r="AB93" s="3">
        <v>9.2380952380952515</v>
      </c>
      <c r="AC93" s="3">
        <v>0.85840707964601859</v>
      </c>
    </row>
    <row r="94" spans="1:29" x14ac:dyDescent="0.35">
      <c r="A94" s="2" t="s">
        <v>260</v>
      </c>
      <c r="B94" s="2" t="s">
        <v>279</v>
      </c>
      <c r="C94" s="13">
        <v>45321</v>
      </c>
      <c r="D94" s="2" t="s">
        <v>9</v>
      </c>
      <c r="E94" s="10">
        <v>0</v>
      </c>
      <c r="F94" s="10">
        <v>24.544</v>
      </c>
      <c r="G94" s="5">
        <v>8.8999999999999996E-2</v>
      </c>
      <c r="H94" s="5">
        <v>6.78</v>
      </c>
      <c r="I94" s="10">
        <v>-269</v>
      </c>
      <c r="J94" s="6">
        <v>644</v>
      </c>
      <c r="K94" s="16">
        <v>5458</v>
      </c>
      <c r="L94" s="16">
        <v>656</v>
      </c>
      <c r="M94" s="17">
        <v>1.04</v>
      </c>
      <c r="N94" s="17">
        <v>92.4</v>
      </c>
      <c r="O94" s="17">
        <v>5.8999999999999997E-2</v>
      </c>
      <c r="P94" s="17">
        <v>18.2</v>
      </c>
      <c r="Q94" s="17">
        <v>202</v>
      </c>
      <c r="R94" s="17">
        <v>74.141000000000005</v>
      </c>
      <c r="S94" s="17">
        <v>4.05</v>
      </c>
      <c r="T94" s="17">
        <v>13.1</v>
      </c>
      <c r="U94" s="5">
        <v>671</v>
      </c>
      <c r="V94" s="23" t="s">
        <v>380</v>
      </c>
      <c r="W94" s="22">
        <v>2.4827586206895043</v>
      </c>
      <c r="X94" s="22">
        <v>1.806896551724092</v>
      </c>
      <c r="Y94" s="12">
        <v>72.777777777780344</v>
      </c>
      <c r="Z94" s="3">
        <v>0.21379310344827623</v>
      </c>
      <c r="AA94" s="3">
        <v>1.2545454545454551</v>
      </c>
      <c r="AB94" s="3">
        <v>1.063636363636365</v>
      </c>
      <c r="AC94" s="3">
        <v>0.84782608695652251</v>
      </c>
    </row>
    <row r="95" spans="1:29" x14ac:dyDescent="0.35">
      <c r="A95" s="2" t="s">
        <v>260</v>
      </c>
      <c r="B95" s="2" t="s">
        <v>279</v>
      </c>
      <c r="C95" s="13">
        <v>45321</v>
      </c>
      <c r="D95" s="2" t="s">
        <v>10</v>
      </c>
      <c r="E95" s="10">
        <v>1.08</v>
      </c>
      <c r="F95" s="10">
        <v>24.538</v>
      </c>
      <c r="G95" s="5">
        <v>8.4000000000000005E-2</v>
      </c>
      <c r="H95" s="5">
        <v>6.79</v>
      </c>
      <c r="I95" s="10">
        <v>-287</v>
      </c>
      <c r="J95" s="6">
        <v>639</v>
      </c>
      <c r="K95" s="16">
        <v>1974</v>
      </c>
      <c r="L95" s="16">
        <v>251</v>
      </c>
      <c r="M95" s="17">
        <v>0.94499999999999995</v>
      </c>
      <c r="N95" s="17">
        <v>74.400000000000006</v>
      </c>
      <c r="O95" s="17">
        <v>1.4999999999999999E-2</v>
      </c>
      <c r="P95" s="17">
        <v>17.399999999999999</v>
      </c>
      <c r="Q95" s="17">
        <v>205</v>
      </c>
      <c r="R95" s="17">
        <v>56.985000000000007</v>
      </c>
      <c r="S95" s="17">
        <v>2.0499999999999998</v>
      </c>
      <c r="T95" s="17">
        <v>7.37</v>
      </c>
      <c r="U95" s="5">
        <v>597</v>
      </c>
      <c r="V95" s="23" t="s">
        <v>381</v>
      </c>
      <c r="W95" s="22">
        <v>1.0322580645162445</v>
      </c>
      <c r="X95" s="22">
        <v>0.66129032258059384</v>
      </c>
      <c r="Y95" s="12">
        <v>64.062499999987864</v>
      </c>
      <c r="Z95" s="3">
        <v>0</v>
      </c>
      <c r="AA95" s="3">
        <v>0.47999999999999987</v>
      </c>
      <c r="AB95" s="3">
        <v>0.47999999999999987</v>
      </c>
      <c r="AC95" s="3">
        <v>1</v>
      </c>
    </row>
    <row r="96" spans="1:29" x14ac:dyDescent="0.35">
      <c r="A96" s="2" t="s">
        <v>260</v>
      </c>
      <c r="B96" s="2" t="s">
        <v>279</v>
      </c>
      <c r="C96" s="13">
        <v>45321</v>
      </c>
      <c r="D96" s="2" t="s">
        <v>11</v>
      </c>
      <c r="E96" s="10">
        <v>2.15</v>
      </c>
      <c r="F96" s="10">
        <v>24.526</v>
      </c>
      <c r="G96" s="5">
        <v>8.5999999999999993E-2</v>
      </c>
      <c r="H96" s="5">
        <v>7.09</v>
      </c>
      <c r="I96" s="10">
        <v>-283</v>
      </c>
      <c r="J96" s="6">
        <v>648</v>
      </c>
      <c r="K96" s="16">
        <v>19940</v>
      </c>
      <c r="L96" s="16">
        <v>1008.6666666666666</v>
      </c>
      <c r="M96" s="17">
        <v>18.899999999999999</v>
      </c>
      <c r="N96" s="17">
        <v>290.5</v>
      </c>
      <c r="O96" s="17">
        <v>0.28666666666666668</v>
      </c>
      <c r="P96" s="17">
        <v>346</v>
      </c>
      <c r="Q96" s="17">
        <v>414</v>
      </c>
      <c r="R96" s="17">
        <v>-55.786666666666655</v>
      </c>
      <c r="S96" s="17">
        <v>18.380000000000003</v>
      </c>
      <c r="T96" s="17">
        <v>42.6</v>
      </c>
      <c r="U96" s="5">
        <v>6336.666666666667</v>
      </c>
      <c r="V96" s="23" t="s">
        <v>382</v>
      </c>
      <c r="W96" s="22">
        <v>13.079063146997981</v>
      </c>
      <c r="X96" s="22">
        <v>10.197420634920661</v>
      </c>
      <c r="Y96" s="12">
        <v>77.975092121727712</v>
      </c>
      <c r="Z96" s="3">
        <v>1.3937629399585925</v>
      </c>
      <c r="AA96" s="3">
        <v>7.5999999999999783</v>
      </c>
      <c r="AB96" s="3">
        <v>7.5999999999999783</v>
      </c>
      <c r="AC96" s="3">
        <v>1</v>
      </c>
    </row>
    <row r="97" spans="1:29" x14ac:dyDescent="0.35">
      <c r="A97" s="2" t="s">
        <v>261</v>
      </c>
      <c r="B97" s="2" t="s">
        <v>280</v>
      </c>
      <c r="C97" s="13">
        <v>45321</v>
      </c>
      <c r="D97" s="2" t="s">
        <v>9</v>
      </c>
      <c r="E97" s="10">
        <v>0</v>
      </c>
      <c r="F97" s="10">
        <v>24.544</v>
      </c>
      <c r="G97" s="5">
        <v>8.8999999999999996E-2</v>
      </c>
      <c r="H97" s="5">
        <v>6.91</v>
      </c>
      <c r="I97" s="10">
        <v>-168</v>
      </c>
      <c r="J97" s="6">
        <v>1772</v>
      </c>
      <c r="K97" s="16">
        <v>1927</v>
      </c>
      <c r="L97" s="16">
        <v>319</v>
      </c>
      <c r="M97" s="17">
        <v>1.07</v>
      </c>
      <c r="N97" s="17">
        <v>222</v>
      </c>
      <c r="O97" s="17">
        <v>4.2000000000000003E-2</v>
      </c>
      <c r="P97" s="17">
        <v>17.8</v>
      </c>
      <c r="Q97" s="17">
        <v>324</v>
      </c>
      <c r="R97" s="17">
        <v>204.15799999999999</v>
      </c>
      <c r="S97" s="17">
        <v>16.2</v>
      </c>
      <c r="T97" s="17">
        <v>21.3</v>
      </c>
      <c r="U97" s="5">
        <v>417</v>
      </c>
      <c r="V97" s="23" t="s">
        <v>383</v>
      </c>
      <c r="W97" s="22">
        <v>1.403333333333497</v>
      </c>
      <c r="X97" s="22">
        <v>0.67333333333342205</v>
      </c>
      <c r="Y97" s="12">
        <v>47.980997624703811</v>
      </c>
      <c r="Z97" s="3">
        <v>0</v>
      </c>
      <c r="AA97" s="3">
        <v>0.69999999999999929</v>
      </c>
      <c r="AB97" s="3">
        <v>0.66249999999999987</v>
      </c>
      <c r="AC97" s="3">
        <v>0.94642857142857217</v>
      </c>
    </row>
    <row r="98" spans="1:29" x14ac:dyDescent="0.35">
      <c r="A98" s="2" t="s">
        <v>261</v>
      </c>
      <c r="B98" s="2" t="s">
        <v>280</v>
      </c>
      <c r="C98" s="13">
        <v>45321</v>
      </c>
      <c r="D98" s="2" t="s">
        <v>10</v>
      </c>
      <c r="E98" s="10">
        <v>1.5</v>
      </c>
      <c r="F98" s="10">
        <v>24.538</v>
      </c>
      <c r="G98" s="5">
        <v>8.4000000000000005E-2</v>
      </c>
      <c r="H98" s="5">
        <v>6.89</v>
      </c>
      <c r="I98" s="10">
        <v>-248</v>
      </c>
      <c r="J98" s="6">
        <v>1780</v>
      </c>
      <c r="K98" s="16">
        <v>896</v>
      </c>
      <c r="L98" s="16">
        <v>214</v>
      </c>
      <c r="M98" s="17">
        <v>0.97199999999999998</v>
      </c>
      <c r="N98" s="17">
        <v>194</v>
      </c>
      <c r="O98" s="17">
        <v>2.3E-2</v>
      </c>
      <c r="P98" s="17">
        <v>17.8</v>
      </c>
      <c r="Q98" s="17">
        <v>327</v>
      </c>
      <c r="R98" s="17">
        <v>176.17699999999999</v>
      </c>
      <c r="S98" s="17">
        <v>17.5</v>
      </c>
      <c r="T98" s="17">
        <v>20.5</v>
      </c>
      <c r="U98" s="5">
        <v>238.99999999999997</v>
      </c>
      <c r="V98" s="23" t="s">
        <v>384</v>
      </c>
      <c r="W98" s="22">
        <v>1.0333333333332935</v>
      </c>
      <c r="X98" s="22">
        <v>0.46333333333331933</v>
      </c>
      <c r="Y98" s="12">
        <v>44.838709677419729</v>
      </c>
      <c r="Z98" s="3">
        <v>0</v>
      </c>
      <c r="AA98" s="3">
        <v>0.33749999999999925</v>
      </c>
      <c r="AB98" s="3">
        <v>0.33749999999999925</v>
      </c>
      <c r="AC98" s="3">
        <v>1</v>
      </c>
    </row>
    <row r="99" spans="1:29" x14ac:dyDescent="0.35">
      <c r="A99" s="2" t="s">
        <v>261</v>
      </c>
      <c r="B99" s="2" t="s">
        <v>280</v>
      </c>
      <c r="C99" s="13">
        <v>45321</v>
      </c>
      <c r="D99" s="2" t="s">
        <v>11</v>
      </c>
      <c r="E99" s="10">
        <v>3</v>
      </c>
      <c r="F99" s="10">
        <v>24.526</v>
      </c>
      <c r="G99" s="5">
        <v>8.5999999999999993E-2</v>
      </c>
      <c r="H99" s="5">
        <v>6.76</v>
      </c>
      <c r="I99" s="10">
        <v>-269.8</v>
      </c>
      <c r="J99" s="6">
        <v>1400</v>
      </c>
      <c r="K99" s="16">
        <v>66100</v>
      </c>
      <c r="L99" s="16">
        <v>1684</v>
      </c>
      <c r="M99" s="17">
        <v>19.8</v>
      </c>
      <c r="N99" s="17">
        <v>1789.9999999999998</v>
      </c>
      <c r="O99" s="17">
        <v>0.42000000000000004</v>
      </c>
      <c r="P99" s="17">
        <v>352</v>
      </c>
      <c r="Q99" s="17">
        <v>448</v>
      </c>
      <c r="R99" s="17">
        <v>1437.5799999999997</v>
      </c>
      <c r="S99" s="17">
        <v>4.18</v>
      </c>
      <c r="T99" s="17">
        <v>248</v>
      </c>
      <c r="U99" s="5">
        <v>4140.0000000000009</v>
      </c>
      <c r="V99" s="23">
        <v>4447.333333333333</v>
      </c>
      <c r="W99" s="22">
        <v>87.326666666667549</v>
      </c>
      <c r="X99" s="22">
        <v>38.76000000000014</v>
      </c>
      <c r="Y99" s="12">
        <v>44.385067562409056</v>
      </c>
      <c r="Z99" s="3">
        <v>39.799999999999997</v>
      </c>
      <c r="AA99" s="3">
        <v>15.55555555555557</v>
      </c>
      <c r="AB99" s="3">
        <v>15.333333333333311</v>
      </c>
      <c r="AC99" s="3">
        <v>0.98571428571428343</v>
      </c>
    </row>
    <row r="100" spans="1:29" x14ac:dyDescent="0.35">
      <c r="A100" s="2" t="s">
        <v>262</v>
      </c>
      <c r="B100" s="2" t="s">
        <v>281</v>
      </c>
      <c r="C100" s="13">
        <v>45327</v>
      </c>
      <c r="D100" s="2" t="s">
        <v>9</v>
      </c>
      <c r="E100" s="10">
        <v>0</v>
      </c>
      <c r="F100" s="10">
        <v>24.942</v>
      </c>
      <c r="G100" s="5">
        <v>9.1999999999999998E-2</v>
      </c>
      <c r="H100" s="5">
        <v>6.49</v>
      </c>
      <c r="I100" s="10">
        <v>-22.9</v>
      </c>
      <c r="J100" s="6">
        <v>2330</v>
      </c>
      <c r="K100" s="16">
        <v>12033.333333333334</v>
      </c>
      <c r="L100" s="16">
        <v>7840</v>
      </c>
      <c r="M100" s="17">
        <v>0</v>
      </c>
      <c r="N100" s="17">
        <v>1316.6666666666667</v>
      </c>
      <c r="O100" s="17">
        <v>0.18666666666666668</v>
      </c>
      <c r="P100" s="17">
        <v>1.5733333333333335</v>
      </c>
      <c r="Q100" s="17">
        <v>565.33333333333337</v>
      </c>
      <c r="R100" s="17">
        <v>1314.9066666666668</v>
      </c>
      <c r="S100" s="17">
        <v>76.8</v>
      </c>
      <c r="T100" s="17">
        <v>151.26666666666668</v>
      </c>
      <c r="U100" s="5">
        <v>2530</v>
      </c>
      <c r="V100" s="23" t="s">
        <v>385</v>
      </c>
      <c r="W100" s="22">
        <v>42.168965517241475</v>
      </c>
      <c r="X100" s="22">
        <v>16.462068965517343</v>
      </c>
      <c r="Y100" s="12">
        <v>39.038351459645263</v>
      </c>
      <c r="Z100" s="3">
        <v>2.5620689655172417</v>
      </c>
      <c r="AA100" s="3">
        <v>5.7000000000000108</v>
      </c>
      <c r="AB100" s="3">
        <v>4.600000000000021</v>
      </c>
      <c r="AC100" s="3">
        <v>0.8070175438596513</v>
      </c>
    </row>
    <row r="101" spans="1:29" x14ac:dyDescent="0.35">
      <c r="A101" s="2" t="s">
        <v>262</v>
      </c>
      <c r="B101" s="2" t="s">
        <v>281</v>
      </c>
      <c r="C101" s="13">
        <v>45327</v>
      </c>
      <c r="D101" s="2" t="s">
        <v>10</v>
      </c>
      <c r="E101" s="10">
        <v>0.9</v>
      </c>
      <c r="F101" s="10">
        <v>24.286999999999999</v>
      </c>
      <c r="G101" s="5">
        <v>0.09</v>
      </c>
      <c r="H101" s="5">
        <v>6.47</v>
      </c>
      <c r="I101" s="10">
        <v>-23.4</v>
      </c>
      <c r="J101" s="6">
        <v>2380</v>
      </c>
      <c r="K101" s="16">
        <v>100550</v>
      </c>
      <c r="L101" s="16"/>
      <c r="M101" s="17">
        <v>0</v>
      </c>
      <c r="N101" s="17">
        <v>3190</v>
      </c>
      <c r="O101" s="17">
        <v>0.5</v>
      </c>
      <c r="P101" s="17">
        <v>0</v>
      </c>
      <c r="Q101" s="17">
        <v>690</v>
      </c>
      <c r="R101" s="17">
        <v>3189.5</v>
      </c>
      <c r="S101" s="17">
        <v>88.5</v>
      </c>
      <c r="T101" s="17">
        <v>860</v>
      </c>
      <c r="U101" s="5">
        <v>7460</v>
      </c>
      <c r="V101" s="23" t="s">
        <v>386</v>
      </c>
      <c r="W101" s="22">
        <v>29.444444444444507</v>
      </c>
      <c r="X101" s="22">
        <v>19.155555555555914</v>
      </c>
      <c r="Y101" s="12">
        <v>65.056603773585991</v>
      </c>
      <c r="Z101" s="3">
        <v>72.844444444444434</v>
      </c>
      <c r="AA101" s="3">
        <v>52.000000000000014</v>
      </c>
      <c r="AB101" s="3">
        <v>34.00000000000005</v>
      </c>
      <c r="AC101" s="3">
        <v>0.65384615384615463</v>
      </c>
    </row>
    <row r="102" spans="1:29" x14ac:dyDescent="0.35">
      <c r="A102" s="2" t="s">
        <v>262</v>
      </c>
      <c r="B102" s="2" t="s">
        <v>281</v>
      </c>
      <c r="C102" s="13">
        <v>45327</v>
      </c>
      <c r="D102" s="2" t="s">
        <v>11</v>
      </c>
      <c r="E102" s="10">
        <v>1.8</v>
      </c>
      <c r="F102" s="10">
        <v>24.177</v>
      </c>
      <c r="G102" s="5">
        <v>8.8999999999999996E-2</v>
      </c>
      <c r="H102" s="5">
        <v>6.48</v>
      </c>
      <c r="I102" s="10">
        <v>-150</v>
      </c>
      <c r="J102" s="6">
        <v>2390</v>
      </c>
      <c r="U102" s="5"/>
      <c r="V102" s="24"/>
    </row>
    <row r="103" spans="1:29" x14ac:dyDescent="0.35">
      <c r="A103" s="2" t="s">
        <v>263</v>
      </c>
      <c r="B103" s="2" t="s">
        <v>282</v>
      </c>
      <c r="C103" s="13">
        <v>45328</v>
      </c>
      <c r="D103" s="2" t="s">
        <v>9</v>
      </c>
      <c r="E103" s="10">
        <v>0</v>
      </c>
      <c r="F103" s="10">
        <v>24.661000000000001</v>
      </c>
      <c r="G103" s="5">
        <v>0.11799999999999999</v>
      </c>
      <c r="H103" s="5">
        <v>6.89</v>
      </c>
      <c r="I103" s="10">
        <v>-272</v>
      </c>
      <c r="J103" s="6">
        <v>1542</v>
      </c>
      <c r="K103" s="16">
        <v>1715</v>
      </c>
      <c r="L103" s="16">
        <v>148</v>
      </c>
      <c r="M103" s="17">
        <v>0</v>
      </c>
      <c r="N103" s="17">
        <v>196.20000000000002</v>
      </c>
      <c r="O103" s="17">
        <v>9.0999999999999998E-2</v>
      </c>
      <c r="P103" s="17">
        <v>0.48</v>
      </c>
      <c r="Q103" s="17">
        <v>138</v>
      </c>
      <c r="R103" s="17">
        <v>195.62900000000002</v>
      </c>
      <c r="S103" s="17">
        <v>13.6</v>
      </c>
      <c r="T103" s="17">
        <v>21.4</v>
      </c>
      <c r="U103" s="5">
        <v>1325</v>
      </c>
      <c r="V103" s="23" t="s">
        <v>387</v>
      </c>
      <c r="W103" s="22">
        <v>7.5764705882354004</v>
      </c>
      <c r="X103" s="22">
        <v>4.8764705882354233</v>
      </c>
      <c r="Y103" s="12">
        <v>64.363354037267882</v>
      </c>
      <c r="Z103" s="3">
        <v>0.32352941176470534</v>
      </c>
      <c r="AA103" s="3">
        <v>0.69565217391303935</v>
      </c>
      <c r="AB103" s="3">
        <v>0.60869565217390631</v>
      </c>
      <c r="AC103" s="3">
        <v>0.87499999999999556</v>
      </c>
    </row>
    <row r="104" spans="1:29" x14ac:dyDescent="0.35">
      <c r="A104" s="2" t="s">
        <v>263</v>
      </c>
      <c r="B104" s="2" t="s">
        <v>282</v>
      </c>
      <c r="C104" s="13">
        <v>45328</v>
      </c>
      <c r="D104" s="2" t="s">
        <v>10</v>
      </c>
      <c r="E104" s="10">
        <v>0.9</v>
      </c>
      <c r="F104" s="10">
        <v>24.672999999999998</v>
      </c>
      <c r="G104" s="5">
        <v>0.105</v>
      </c>
      <c r="H104" s="5">
        <v>6.89</v>
      </c>
      <c r="I104" s="10">
        <v>-290</v>
      </c>
      <c r="J104" s="6">
        <v>1545</v>
      </c>
      <c r="K104" s="16">
        <v>653</v>
      </c>
      <c r="L104" s="16">
        <v>137</v>
      </c>
      <c r="M104" s="17">
        <v>0</v>
      </c>
      <c r="N104" s="17">
        <v>169.4</v>
      </c>
      <c r="O104" s="17">
        <v>1.4E-2</v>
      </c>
      <c r="P104" s="17">
        <v>0.34799999999999998</v>
      </c>
      <c r="Q104" s="17">
        <v>128</v>
      </c>
      <c r="R104" s="17">
        <v>169.03799999999998</v>
      </c>
      <c r="S104" s="17">
        <v>12.6</v>
      </c>
      <c r="T104" s="17">
        <v>18.399999999999999</v>
      </c>
      <c r="U104" s="5">
        <v>960.00000000000034</v>
      </c>
      <c r="V104" s="23" t="s">
        <v>165</v>
      </c>
      <c r="W104" s="22">
        <v>1.0531250000000991</v>
      </c>
      <c r="X104" s="22">
        <v>0.35312500000017621</v>
      </c>
      <c r="Y104" s="12">
        <v>33.531157270043252</v>
      </c>
      <c r="Z104" s="3">
        <v>0.29374999999999973</v>
      </c>
      <c r="AA104" s="3">
        <v>0.32142857142857167</v>
      </c>
      <c r="AB104" s="3">
        <v>0.26428571428571496</v>
      </c>
      <c r="AC104" s="3">
        <v>0.82222222222222363</v>
      </c>
    </row>
    <row r="105" spans="1:29" x14ac:dyDescent="0.35">
      <c r="A105" s="2" t="s">
        <v>263</v>
      </c>
      <c r="B105" s="2" t="s">
        <v>282</v>
      </c>
      <c r="C105" s="13">
        <v>45328</v>
      </c>
      <c r="D105" s="2" t="s">
        <v>11</v>
      </c>
      <c r="E105" s="10">
        <v>1.8</v>
      </c>
      <c r="F105" s="10">
        <v>24.568999999999999</v>
      </c>
      <c r="G105" s="5">
        <v>9.0999999999999998E-2</v>
      </c>
      <c r="H105" s="5">
        <v>6.74</v>
      </c>
      <c r="I105" s="10">
        <v>-276.7</v>
      </c>
      <c r="J105" s="6">
        <v>1541</v>
      </c>
      <c r="K105" s="16">
        <v>85000</v>
      </c>
      <c r="L105" s="16">
        <v>2095</v>
      </c>
      <c r="M105" s="17">
        <v>0</v>
      </c>
      <c r="N105" s="17">
        <v>1660.0000000000002</v>
      </c>
      <c r="O105" s="17">
        <v>0.3</v>
      </c>
      <c r="P105" s="17">
        <v>0.05</v>
      </c>
      <c r="Q105" s="17">
        <v>181</v>
      </c>
      <c r="R105" s="17">
        <v>1659.6500000000003</v>
      </c>
      <c r="S105" s="17">
        <v>17.599999999999998</v>
      </c>
      <c r="T105" s="17">
        <v>430</v>
      </c>
      <c r="U105" s="5">
        <v>5140.0000000000009</v>
      </c>
      <c r="V105" s="23" t="s">
        <v>388</v>
      </c>
      <c r="W105" s="22">
        <v>138.51052631578958</v>
      </c>
      <c r="X105" s="22">
        <v>48.552631578947341</v>
      </c>
      <c r="Y105" s="12">
        <v>35.053387544172921</v>
      </c>
      <c r="Z105" s="3">
        <v>82.505263157894731</v>
      </c>
      <c r="AA105" s="3">
        <v>34.666666666666643</v>
      </c>
      <c r="AB105" s="3">
        <v>23.999999999999947</v>
      </c>
      <c r="AC105" s="3">
        <v>0.69230769230769129</v>
      </c>
    </row>
    <row r="106" spans="1:29" x14ac:dyDescent="0.35">
      <c r="A106" s="2" t="s">
        <v>264</v>
      </c>
      <c r="B106" s="2" t="s">
        <v>283</v>
      </c>
      <c r="C106" s="13">
        <v>45328</v>
      </c>
      <c r="D106" s="2" t="s">
        <v>9</v>
      </c>
      <c r="E106" s="10">
        <v>0</v>
      </c>
      <c r="F106" s="10">
        <v>23.925999999999998</v>
      </c>
      <c r="G106" s="5">
        <v>0.18</v>
      </c>
      <c r="H106" s="5">
        <v>7</v>
      </c>
      <c r="I106" s="10">
        <v>-295</v>
      </c>
      <c r="J106" s="6">
        <v>1788</v>
      </c>
      <c r="K106" s="16">
        <v>26940</v>
      </c>
      <c r="L106" s="16">
        <v>986</v>
      </c>
      <c r="M106" s="17">
        <v>0</v>
      </c>
      <c r="N106" s="17">
        <v>665</v>
      </c>
      <c r="O106" s="17">
        <v>0.24</v>
      </c>
      <c r="P106" s="17">
        <v>0</v>
      </c>
      <c r="Q106" s="17">
        <v>186.4</v>
      </c>
      <c r="R106" s="17">
        <v>664.76</v>
      </c>
      <c r="S106" s="17">
        <v>15.68</v>
      </c>
      <c r="T106" s="17">
        <v>148.4</v>
      </c>
      <c r="U106" s="5">
        <v>2189.9999999999995</v>
      </c>
      <c r="V106" s="23" t="s">
        <v>389</v>
      </c>
      <c r="W106" s="22">
        <v>36.022727272727131</v>
      </c>
      <c r="X106" s="22">
        <v>21.399999999999864</v>
      </c>
      <c r="Y106" s="12">
        <v>59.406940063091341</v>
      </c>
      <c r="Z106" s="3">
        <v>14.195454545454545</v>
      </c>
      <c r="AA106" s="3">
        <v>12.800000000000033</v>
      </c>
      <c r="AB106" s="3">
        <v>8.5333333333333545</v>
      </c>
      <c r="AC106" s="3">
        <v>0.66666666666666663</v>
      </c>
    </row>
    <row r="107" spans="1:29" x14ac:dyDescent="0.35">
      <c r="A107" s="2" t="s">
        <v>264</v>
      </c>
      <c r="B107" s="2" t="s">
        <v>283</v>
      </c>
      <c r="C107" s="13">
        <v>45328</v>
      </c>
      <c r="D107" s="2" t="s">
        <v>10</v>
      </c>
      <c r="E107" s="10">
        <v>0.8</v>
      </c>
      <c r="F107" s="10">
        <v>24.012</v>
      </c>
      <c r="G107" s="5">
        <v>0.161</v>
      </c>
      <c r="H107" s="5">
        <v>7.01</v>
      </c>
      <c r="I107" s="10">
        <v>-298</v>
      </c>
      <c r="J107" s="6">
        <v>1851</v>
      </c>
      <c r="K107" s="16">
        <v>18350</v>
      </c>
      <c r="L107" s="16">
        <v>1885.0000000000002</v>
      </c>
      <c r="M107" s="17">
        <v>0</v>
      </c>
      <c r="N107" s="17">
        <v>1900</v>
      </c>
      <c r="O107" s="17">
        <v>0.35000000000000003</v>
      </c>
      <c r="P107" s="17">
        <v>0.3</v>
      </c>
      <c r="Q107" s="17">
        <v>211.50000000000003</v>
      </c>
      <c r="R107" s="17">
        <v>1899.3500000000001</v>
      </c>
      <c r="S107" s="17">
        <v>15.299999999999999</v>
      </c>
      <c r="T107" s="17">
        <v>401.49999999999994</v>
      </c>
      <c r="U107" s="5">
        <v>7280</v>
      </c>
      <c r="V107" s="23" t="s">
        <v>390</v>
      </c>
      <c r="W107" s="22">
        <v>126.63333333333307</v>
      </c>
      <c r="X107" s="22">
        <v>44.126666666666388</v>
      </c>
      <c r="Y107" s="12">
        <v>34.846012108449443</v>
      </c>
      <c r="Z107" s="3">
        <v>68.733333333333334</v>
      </c>
      <c r="AA107" s="3">
        <v>40.333333333333329</v>
      </c>
      <c r="AB107" s="3">
        <v>23.999999999999947</v>
      </c>
      <c r="AC107" s="3">
        <v>0.59504132231404838</v>
      </c>
    </row>
    <row r="108" spans="1:29" x14ac:dyDescent="0.35">
      <c r="A108" s="2" t="s">
        <v>264</v>
      </c>
      <c r="B108" s="2" t="s">
        <v>283</v>
      </c>
      <c r="C108" s="13">
        <v>45328</v>
      </c>
      <c r="D108" s="2" t="s">
        <v>11</v>
      </c>
      <c r="E108" s="10">
        <v>1.65</v>
      </c>
      <c r="F108" s="10">
        <v>24.183</v>
      </c>
      <c r="G108" s="5">
        <v>0.157</v>
      </c>
      <c r="H108" s="5">
        <v>6.98</v>
      </c>
      <c r="I108" s="10">
        <v>-306.60000000000002</v>
      </c>
      <c r="J108" s="6">
        <v>1437</v>
      </c>
      <c r="U108" s="5"/>
      <c r="V108" s="24"/>
    </row>
    <row r="109" spans="1:29" x14ac:dyDescent="0.35">
      <c r="A109" s="2" t="s">
        <v>265</v>
      </c>
      <c r="B109" s="2" t="s">
        <v>284</v>
      </c>
      <c r="C109" s="13">
        <v>45334</v>
      </c>
      <c r="D109" s="2" t="s">
        <v>9</v>
      </c>
      <c r="E109" s="10">
        <v>0</v>
      </c>
      <c r="F109" s="10">
        <v>24.6</v>
      </c>
      <c r="G109" s="5">
        <v>0.14000000000000001</v>
      </c>
      <c r="H109" s="5">
        <v>7.22</v>
      </c>
      <c r="I109" s="10">
        <v>-290.2</v>
      </c>
      <c r="J109" s="6">
        <v>1373</v>
      </c>
      <c r="K109" s="16">
        <v>153</v>
      </c>
      <c r="L109" s="16">
        <v>93.7</v>
      </c>
      <c r="M109" s="17">
        <v>0</v>
      </c>
      <c r="N109" s="17">
        <v>190.6</v>
      </c>
      <c r="O109" s="17">
        <v>2.4E-2</v>
      </c>
      <c r="P109" s="17">
        <v>0.373</v>
      </c>
      <c r="Q109" s="17">
        <v>154.80000000000001</v>
      </c>
      <c r="R109" s="17">
        <v>190.203</v>
      </c>
      <c r="S109" s="17">
        <v>16.7</v>
      </c>
      <c r="T109" s="17">
        <v>17.3</v>
      </c>
      <c r="U109" s="5">
        <v>95.499999999999957</v>
      </c>
      <c r="V109" s="23" t="s">
        <v>391</v>
      </c>
      <c r="W109" s="22">
        <v>0.59687500000005222</v>
      </c>
      <c r="X109" s="22">
        <v>0.1343750000000199</v>
      </c>
      <c r="Y109" s="12">
        <v>22.513089005236967</v>
      </c>
      <c r="Z109" s="3">
        <v>0</v>
      </c>
      <c r="AA109" s="3">
        <v>0.10499999999999954</v>
      </c>
      <c r="AB109" s="3">
        <v>2.5000000000000022E-2</v>
      </c>
      <c r="AC109" s="3">
        <v>0.23809523809523936</v>
      </c>
    </row>
    <row r="110" spans="1:29" x14ac:dyDescent="0.35">
      <c r="A110" s="2" t="s">
        <v>265</v>
      </c>
      <c r="B110" s="2" t="s">
        <v>284</v>
      </c>
      <c r="C110" s="13">
        <v>45334</v>
      </c>
      <c r="D110" s="2" t="s">
        <v>10</v>
      </c>
      <c r="E110" s="10">
        <v>0.7</v>
      </c>
      <c r="F110" s="10">
        <v>24.550999999999998</v>
      </c>
      <c r="G110" s="5">
        <v>0.13</v>
      </c>
      <c r="H110" s="5">
        <v>7.12</v>
      </c>
      <c r="I110" s="10">
        <v>-299.10000000000002</v>
      </c>
      <c r="J110" s="6">
        <v>1444</v>
      </c>
      <c r="K110" s="16">
        <v>141</v>
      </c>
      <c r="L110" s="16">
        <v>88.5</v>
      </c>
      <c r="M110" s="17">
        <v>0</v>
      </c>
      <c r="N110" s="17">
        <v>308</v>
      </c>
      <c r="O110" s="17">
        <v>1.0999999999999999E-2</v>
      </c>
      <c r="P110" s="17">
        <v>0.44900000000000001</v>
      </c>
      <c r="Q110" s="17">
        <v>159.60000000000002</v>
      </c>
      <c r="R110" s="17">
        <v>307.53999999999996</v>
      </c>
      <c r="S110" s="17">
        <v>16.5</v>
      </c>
      <c r="T110" s="17">
        <v>17.8</v>
      </c>
      <c r="U110" s="5">
        <v>64.5</v>
      </c>
      <c r="V110" s="23" t="s">
        <v>392</v>
      </c>
      <c r="W110" s="22">
        <v>0.53225806451614921</v>
      </c>
      <c r="X110" s="22">
        <v>9.0322580645179992E-2</v>
      </c>
      <c r="Y110" s="12">
        <v>16.969696969699839</v>
      </c>
      <c r="Z110" s="3">
        <v>0</v>
      </c>
      <c r="AA110" s="3">
        <v>8.0000000000000904E-2</v>
      </c>
      <c r="AB110" s="3">
        <v>5.0000000000008371E-3</v>
      </c>
      <c r="AC110" s="3">
        <v>6.2500000000009756E-2</v>
      </c>
    </row>
    <row r="111" spans="1:29" x14ac:dyDescent="0.35">
      <c r="A111" s="2" t="s">
        <v>265</v>
      </c>
      <c r="B111" s="2" t="s">
        <v>284</v>
      </c>
      <c r="C111" s="13">
        <v>45334</v>
      </c>
      <c r="D111" s="2" t="s">
        <v>11</v>
      </c>
      <c r="E111" s="10">
        <v>1.35</v>
      </c>
      <c r="F111" s="10">
        <v>24.556999999999999</v>
      </c>
      <c r="G111" s="5">
        <v>0.125</v>
      </c>
      <c r="H111" s="5">
        <v>6.85</v>
      </c>
      <c r="I111" s="10">
        <v>-284.89999999999998</v>
      </c>
      <c r="J111" s="6">
        <v>1784</v>
      </c>
      <c r="K111" s="16">
        <v>33700</v>
      </c>
      <c r="L111" s="16">
        <v>1350</v>
      </c>
      <c r="M111" s="17">
        <v>1.0999999999999999E-2</v>
      </c>
      <c r="N111" s="17">
        <v>145.5</v>
      </c>
      <c r="O111" s="17">
        <v>0.62</v>
      </c>
      <c r="P111" s="17">
        <v>5.36</v>
      </c>
      <c r="Q111" s="17">
        <v>560</v>
      </c>
      <c r="R111" s="17">
        <v>139.51999999999998</v>
      </c>
      <c r="S111" s="17">
        <v>3.27</v>
      </c>
      <c r="T111" s="17">
        <v>13.900000000000002</v>
      </c>
      <c r="U111" s="5">
        <v>1359.9999999999998</v>
      </c>
      <c r="V111" s="23" t="s">
        <v>393</v>
      </c>
      <c r="W111" s="22">
        <v>25.639999999999926</v>
      </c>
      <c r="X111" s="22">
        <v>17.54400000000004</v>
      </c>
      <c r="Y111" s="12">
        <v>68.424336973479299</v>
      </c>
      <c r="Z111" s="3">
        <v>7.68</v>
      </c>
      <c r="AA111" s="3">
        <v>18.933333333333341</v>
      </c>
      <c r="AB111" s="3">
        <v>12.133333333333331</v>
      </c>
      <c r="AC111" s="3">
        <v>0.6408450704225348</v>
      </c>
    </row>
    <row r="112" spans="1:29" x14ac:dyDescent="0.35">
      <c r="A112" s="2" t="s">
        <v>266</v>
      </c>
      <c r="B112" s="2" t="s">
        <v>285</v>
      </c>
      <c r="C112" s="13">
        <v>45334</v>
      </c>
      <c r="D112" s="2" t="s">
        <v>9</v>
      </c>
      <c r="E112" s="10">
        <v>0</v>
      </c>
      <c r="F112" s="10">
        <v>26.026</v>
      </c>
      <c r="G112" s="5">
        <v>0.12</v>
      </c>
      <c r="H112" s="5">
        <v>7.13</v>
      </c>
      <c r="I112" s="10">
        <v>-335</v>
      </c>
      <c r="J112" s="6">
        <v>2210</v>
      </c>
      <c r="K112" s="16">
        <v>449</v>
      </c>
      <c r="L112" s="16">
        <v>156</v>
      </c>
      <c r="M112" s="17">
        <v>0</v>
      </c>
      <c r="N112" s="17">
        <v>234</v>
      </c>
      <c r="O112" s="17">
        <v>2.3E-2</v>
      </c>
      <c r="P112" s="17">
        <v>0.90800000000000003</v>
      </c>
      <c r="Q112" s="17">
        <v>193</v>
      </c>
      <c r="R112" s="17">
        <v>233.06900000000002</v>
      </c>
      <c r="S112" s="17">
        <v>20.100000000000001</v>
      </c>
      <c r="T112" s="17">
        <v>23.6</v>
      </c>
      <c r="U112" s="5">
        <v>139</v>
      </c>
      <c r="V112" s="23" t="s">
        <v>394</v>
      </c>
      <c r="W112" s="22">
        <v>1.0555555555554639</v>
      </c>
      <c r="X112" s="22">
        <v>0.36666666666660164</v>
      </c>
      <c r="Y112" s="12">
        <v>34.73684210526001</v>
      </c>
      <c r="Z112" s="3">
        <v>0</v>
      </c>
      <c r="AA112" s="3">
        <v>0.26499999999999996</v>
      </c>
      <c r="AB112" s="3">
        <v>0.1449999999999993</v>
      </c>
      <c r="AC112" s="3">
        <v>0.54716981132075215</v>
      </c>
    </row>
    <row r="113" spans="1:29" x14ac:dyDescent="0.35">
      <c r="A113" s="2" t="s">
        <v>266</v>
      </c>
      <c r="B113" s="2" t="s">
        <v>285</v>
      </c>
      <c r="C113" s="13">
        <v>45334</v>
      </c>
      <c r="D113" s="2" t="s">
        <v>10</v>
      </c>
      <c r="E113" s="10">
        <v>2</v>
      </c>
      <c r="F113" s="10">
        <v>26.026</v>
      </c>
      <c r="G113" s="5">
        <v>0.113</v>
      </c>
      <c r="H113" s="5">
        <v>7.08</v>
      </c>
      <c r="I113" s="10">
        <v>-340</v>
      </c>
      <c r="J113" s="6">
        <v>2180</v>
      </c>
      <c r="K113" s="16">
        <v>326</v>
      </c>
      <c r="L113" s="16">
        <v>175</v>
      </c>
      <c r="M113" s="17">
        <v>0</v>
      </c>
      <c r="N113" s="17">
        <v>252</v>
      </c>
      <c r="O113" s="17">
        <v>3.4000000000000002E-2</v>
      </c>
      <c r="P113" s="17">
        <v>0.85699999999999998</v>
      </c>
      <c r="Q113" s="17">
        <v>224</v>
      </c>
      <c r="R113" s="17">
        <v>251.10900000000001</v>
      </c>
      <c r="S113" s="17">
        <v>22.8</v>
      </c>
      <c r="T113" s="17">
        <v>23.8</v>
      </c>
      <c r="U113" s="5">
        <v>147.5</v>
      </c>
      <c r="V113" s="23" t="s">
        <v>395</v>
      </c>
      <c r="W113" s="22">
        <v>0.95000000000000639</v>
      </c>
      <c r="X113" s="22">
        <v>0.28750000000021814</v>
      </c>
      <c r="Y113" s="12">
        <v>30.263157894759601</v>
      </c>
      <c r="Z113" s="3">
        <v>0</v>
      </c>
      <c r="AA113" s="3">
        <v>0.23000000000000034</v>
      </c>
      <c r="AB113" s="3">
        <v>0.1350000000000004</v>
      </c>
      <c r="AC113" s="3">
        <v>0.58695652173913127</v>
      </c>
    </row>
    <row r="114" spans="1:29" x14ac:dyDescent="0.35">
      <c r="A114" s="2" t="s">
        <v>266</v>
      </c>
      <c r="B114" s="2" t="s">
        <v>285</v>
      </c>
      <c r="C114" s="13">
        <v>45334</v>
      </c>
      <c r="D114" s="2" t="s">
        <v>11</v>
      </c>
      <c r="E114" s="10">
        <v>4</v>
      </c>
      <c r="F114" s="10">
        <v>26.02</v>
      </c>
      <c r="G114" s="5">
        <v>0.107</v>
      </c>
      <c r="H114" s="5">
        <v>6.92</v>
      </c>
      <c r="I114" s="10">
        <v>-314.8</v>
      </c>
      <c r="J114" s="6">
        <v>2890</v>
      </c>
      <c r="K114" s="16">
        <v>305</v>
      </c>
      <c r="L114" s="16">
        <v>172</v>
      </c>
      <c r="M114" s="17">
        <v>0</v>
      </c>
      <c r="N114" s="17">
        <v>270</v>
      </c>
      <c r="O114" s="17">
        <v>4.2999999999999997E-2</v>
      </c>
      <c r="P114" s="17">
        <v>0.89</v>
      </c>
      <c r="Q114" s="17">
        <v>195</v>
      </c>
      <c r="R114" s="17">
        <v>269.06700000000001</v>
      </c>
      <c r="S114" s="17">
        <v>23.5</v>
      </c>
      <c r="T114" s="17">
        <v>24.2</v>
      </c>
      <c r="U114" s="5">
        <v>124.00000000000001</v>
      </c>
      <c r="V114" s="23" t="s">
        <v>396</v>
      </c>
      <c r="W114" s="22">
        <v>0.82999999999984198</v>
      </c>
      <c r="X114" s="22">
        <v>0.14000000000002899</v>
      </c>
      <c r="Y114" s="12">
        <v>16.867469879524776</v>
      </c>
      <c r="Z114" s="3">
        <v>0</v>
      </c>
      <c r="AA114" s="3">
        <v>0.21000000000000046</v>
      </c>
      <c r="AB114" s="3">
        <v>0.11000000000000036</v>
      </c>
      <c r="AC114" s="3">
        <v>0.52380952380952439</v>
      </c>
    </row>
    <row r="115" spans="1:29" x14ac:dyDescent="0.35">
      <c r="A115" s="2" t="s">
        <v>351</v>
      </c>
      <c r="B115" s="2" t="s">
        <v>286</v>
      </c>
      <c r="C115" s="13">
        <v>45335</v>
      </c>
      <c r="D115" s="2" t="s">
        <v>9</v>
      </c>
      <c r="E115" s="10">
        <v>0</v>
      </c>
      <c r="F115" s="10">
        <v>24.312000000000001</v>
      </c>
      <c r="G115" s="5">
        <v>0.108</v>
      </c>
      <c r="H115" s="5">
        <v>7.34</v>
      </c>
      <c r="I115" s="10">
        <v>-362.9</v>
      </c>
      <c r="J115" s="6">
        <v>6740</v>
      </c>
      <c r="K115" s="16">
        <v>11450</v>
      </c>
      <c r="L115" s="16">
        <v>2120</v>
      </c>
      <c r="M115" s="17">
        <v>0</v>
      </c>
      <c r="N115" s="17">
        <v>1570</v>
      </c>
      <c r="O115" s="17">
        <v>0.26400000000000001</v>
      </c>
      <c r="P115" s="17">
        <v>3.65</v>
      </c>
      <c r="Q115" s="17">
        <v>650</v>
      </c>
      <c r="R115" s="17">
        <v>1566.086</v>
      </c>
      <c r="S115" s="17">
        <v>29.3</v>
      </c>
      <c r="T115" s="17">
        <v>173.5</v>
      </c>
      <c r="U115" s="5">
        <v>2770</v>
      </c>
      <c r="V115" s="23" t="s">
        <v>397</v>
      </c>
      <c r="W115" s="22">
        <v>8.7866666666665569</v>
      </c>
      <c r="X115" s="22">
        <v>6.1333333333332503</v>
      </c>
      <c r="Y115" s="12">
        <v>69.802731411229061</v>
      </c>
      <c r="Z115" s="3">
        <v>0.31999999999999995</v>
      </c>
      <c r="AA115" s="3">
        <v>1.31</v>
      </c>
      <c r="AB115" s="3">
        <v>0.95000000000000084</v>
      </c>
      <c r="AC115" s="3">
        <v>0.72519083969465714</v>
      </c>
    </row>
    <row r="116" spans="1:29" x14ac:dyDescent="0.35">
      <c r="A116" s="2" t="s">
        <v>351</v>
      </c>
      <c r="B116" s="2" t="s">
        <v>286</v>
      </c>
      <c r="C116" s="13">
        <v>45335</v>
      </c>
      <c r="D116" s="2" t="s">
        <v>10</v>
      </c>
      <c r="E116" s="10">
        <v>0.9</v>
      </c>
      <c r="F116" s="10">
        <v>24.471</v>
      </c>
      <c r="G116" s="5">
        <v>0.10299999999999999</v>
      </c>
      <c r="H116" s="5">
        <v>7.36</v>
      </c>
      <c r="I116" s="10">
        <v>-370.3</v>
      </c>
      <c r="J116" s="6">
        <v>6780</v>
      </c>
      <c r="K116" s="16">
        <v>8350</v>
      </c>
      <c r="L116" s="16">
        <v>1964.9999999999998</v>
      </c>
      <c r="M116" s="17">
        <v>0</v>
      </c>
      <c r="N116" s="17">
        <v>1260</v>
      </c>
      <c r="O116" s="17">
        <v>0.115</v>
      </c>
      <c r="P116" s="17">
        <v>2.4900000000000002</v>
      </c>
      <c r="Q116" s="17">
        <v>680</v>
      </c>
      <c r="R116" s="17">
        <v>1257.395</v>
      </c>
      <c r="S116" s="17">
        <v>26.1</v>
      </c>
      <c r="T116" s="17">
        <v>132.5</v>
      </c>
      <c r="U116" s="5">
        <v>2929.9999999999995</v>
      </c>
      <c r="V116" s="23" t="s">
        <v>398</v>
      </c>
      <c r="W116" s="22">
        <v>6.4066666666666565</v>
      </c>
      <c r="X116" s="22">
        <v>4.3066666666668141</v>
      </c>
      <c r="Y116" s="12">
        <v>67.221644120709996</v>
      </c>
      <c r="Z116" s="3">
        <v>0.30000000000000021</v>
      </c>
      <c r="AA116" s="3">
        <v>2.3499999999999979</v>
      </c>
      <c r="AB116" s="3">
        <v>1.7124999999999988</v>
      </c>
      <c r="AC116" s="3">
        <v>0.72872340425531934</v>
      </c>
    </row>
    <row r="117" spans="1:29" x14ac:dyDescent="0.35">
      <c r="A117" s="2" t="s">
        <v>351</v>
      </c>
      <c r="B117" s="2" t="s">
        <v>286</v>
      </c>
      <c r="C117" s="13">
        <v>45335</v>
      </c>
      <c r="D117" s="2" t="s">
        <v>11</v>
      </c>
      <c r="E117" s="10">
        <v>1.8</v>
      </c>
      <c r="F117" s="10">
        <v>24.513999999999999</v>
      </c>
      <c r="G117" s="5">
        <v>0.1</v>
      </c>
      <c r="H117" s="5">
        <v>7.37</v>
      </c>
      <c r="I117" s="10">
        <v>-365.1</v>
      </c>
      <c r="J117" s="6">
        <v>6780</v>
      </c>
      <c r="K117" s="16">
        <v>19416.666666666668</v>
      </c>
      <c r="L117" s="16">
        <v>3942.5</v>
      </c>
      <c r="M117" s="17">
        <v>0</v>
      </c>
      <c r="N117" s="17">
        <v>1583.3333333333333</v>
      </c>
      <c r="O117" s="17">
        <v>0.5</v>
      </c>
      <c r="P117" s="17">
        <v>11.25</v>
      </c>
      <c r="Q117" s="17">
        <v>1560</v>
      </c>
      <c r="R117" s="17">
        <v>1571.5833333333333</v>
      </c>
      <c r="S117" s="17">
        <v>173.83333333333334</v>
      </c>
      <c r="T117" s="17">
        <v>218.33333333333334</v>
      </c>
      <c r="U117" s="5">
        <v>2719.9999999999995</v>
      </c>
      <c r="V117" s="23" t="s">
        <v>399</v>
      </c>
      <c r="W117" s="22">
        <v>14.151808278867122</v>
      </c>
      <c r="X117" s="22">
        <v>10.414793028322407</v>
      </c>
      <c r="Y117" s="12">
        <v>73.141079437112055</v>
      </c>
      <c r="Z117" s="3">
        <v>1.1703267973856202</v>
      </c>
      <c r="AA117" s="3">
        <v>15.749999999999979</v>
      </c>
      <c r="AB117" s="3">
        <v>9.4999999999999947</v>
      </c>
      <c r="AC117" s="3">
        <v>0.6031746031746037</v>
      </c>
    </row>
    <row r="118" spans="1:29" x14ac:dyDescent="0.35">
      <c r="A118" s="2" t="s">
        <v>352</v>
      </c>
      <c r="B118" s="2" t="s">
        <v>287</v>
      </c>
      <c r="C118" s="13">
        <v>45335</v>
      </c>
      <c r="D118" s="2" t="s">
        <v>9</v>
      </c>
      <c r="E118" s="10">
        <v>0</v>
      </c>
      <c r="F118" s="10">
        <v>24.152999999999999</v>
      </c>
      <c r="G118" s="5">
        <v>0.16900000000000001</v>
      </c>
      <c r="H118" s="5">
        <v>7.29</v>
      </c>
      <c r="I118" s="10">
        <v>-359.3</v>
      </c>
      <c r="J118" s="6">
        <v>6810</v>
      </c>
      <c r="K118" s="16">
        <v>1680</v>
      </c>
      <c r="L118" s="16">
        <v>397</v>
      </c>
      <c r="M118" s="17">
        <v>0</v>
      </c>
      <c r="N118" s="17">
        <v>915</v>
      </c>
      <c r="O118" s="17">
        <v>7.0999999999999994E-2</v>
      </c>
      <c r="P118" s="17">
        <v>2.33</v>
      </c>
      <c r="Q118" s="17">
        <v>588</v>
      </c>
      <c r="R118" s="17">
        <v>912.59899999999993</v>
      </c>
      <c r="S118" s="17">
        <v>24.5</v>
      </c>
      <c r="T118" s="17">
        <v>209</v>
      </c>
      <c r="U118" s="5">
        <v>3679.9999999999995</v>
      </c>
      <c r="V118" s="23">
        <v>457.33333333333331</v>
      </c>
      <c r="W118" s="22">
        <v>2.8900000000000148</v>
      </c>
      <c r="X118" s="22">
        <v>0.72500000000026432</v>
      </c>
      <c r="Y118" s="12">
        <v>25.086505190320434</v>
      </c>
      <c r="Z118" s="3">
        <v>0.39000000000000007</v>
      </c>
      <c r="AA118" s="3">
        <v>0.79999999999999949</v>
      </c>
      <c r="AB118" s="3">
        <v>0.43749999999999867</v>
      </c>
      <c r="AC118" s="3">
        <v>0.54687499999999867</v>
      </c>
    </row>
    <row r="119" spans="1:29" x14ac:dyDescent="0.35">
      <c r="A119" s="2" t="s">
        <v>352</v>
      </c>
      <c r="B119" s="2" t="s">
        <v>287</v>
      </c>
      <c r="C119" s="13">
        <v>45335</v>
      </c>
      <c r="D119" s="2" t="s">
        <v>10</v>
      </c>
      <c r="E119" s="10">
        <v>1.05</v>
      </c>
      <c r="F119" s="10">
        <v>24.146999999999998</v>
      </c>
      <c r="G119" s="5">
        <v>0.11600000000000001</v>
      </c>
      <c r="H119" s="5">
        <v>7.32</v>
      </c>
      <c r="I119" s="10">
        <v>-370.6</v>
      </c>
      <c r="J119" s="6">
        <v>6820</v>
      </c>
      <c r="K119" s="16">
        <v>1310</v>
      </c>
      <c r="L119" s="16">
        <v>526.66666666666663</v>
      </c>
      <c r="M119" s="17">
        <v>0</v>
      </c>
      <c r="N119" s="17">
        <v>899.33333333333337</v>
      </c>
      <c r="O119" s="17">
        <v>8.2000000000000003E-2</v>
      </c>
      <c r="P119" s="17">
        <v>2.706666666666667</v>
      </c>
      <c r="Q119" s="17">
        <v>745.66666666666663</v>
      </c>
      <c r="R119" s="17">
        <v>896.54466666666667</v>
      </c>
      <c r="S119" s="17">
        <v>28.100000000000005</v>
      </c>
      <c r="T119" s="17">
        <v>118.8</v>
      </c>
      <c r="U119" s="5">
        <v>305.99999999999994</v>
      </c>
      <c r="V119" s="23" t="s">
        <v>400</v>
      </c>
      <c r="W119" s="22">
        <v>2.8219999999999619</v>
      </c>
      <c r="X119" s="22">
        <v>0.69722875816992891</v>
      </c>
      <c r="Y119" s="12">
        <v>24.71626276773355</v>
      </c>
      <c r="Z119" s="3">
        <v>0</v>
      </c>
      <c r="AA119" s="3">
        <v>0.76809523809523783</v>
      </c>
      <c r="AB119" s="3">
        <v>0.3839682539682539</v>
      </c>
      <c r="AC119" s="3">
        <v>0.4998966728662948</v>
      </c>
    </row>
    <row r="120" spans="1:29" x14ac:dyDescent="0.35">
      <c r="A120" s="2" t="s">
        <v>352</v>
      </c>
      <c r="B120" s="2" t="s">
        <v>287</v>
      </c>
      <c r="C120" s="13">
        <v>45335</v>
      </c>
      <c r="D120" s="2" t="s">
        <v>11</v>
      </c>
      <c r="E120" s="10">
        <v>2.15</v>
      </c>
      <c r="F120" s="10">
        <v>24.103999999999999</v>
      </c>
      <c r="G120" s="5">
        <v>0.10199999999999999</v>
      </c>
      <c r="H120" s="5">
        <v>7.28</v>
      </c>
      <c r="I120" s="10">
        <v>-369.6</v>
      </c>
      <c r="J120" s="6">
        <v>5190</v>
      </c>
      <c r="K120" s="16">
        <v>61050</v>
      </c>
      <c r="L120" s="16">
        <v>3990</v>
      </c>
      <c r="M120" s="17">
        <v>0</v>
      </c>
      <c r="N120" s="17">
        <v>1670</v>
      </c>
      <c r="O120" s="17">
        <v>0.5</v>
      </c>
      <c r="P120" s="17">
        <v>12.2</v>
      </c>
      <c r="Q120" s="17">
        <v>2140</v>
      </c>
      <c r="R120" s="17">
        <v>1657.3</v>
      </c>
      <c r="S120" s="17">
        <v>488.5</v>
      </c>
      <c r="T120" s="17">
        <v>990</v>
      </c>
      <c r="U120" s="5">
        <v>1980.0000000000005</v>
      </c>
      <c r="V120" s="23" t="s">
        <v>401</v>
      </c>
      <c r="W120" s="22">
        <v>95.649999999999835</v>
      </c>
      <c r="X120" s="22">
        <v>44.310000000000116</v>
      </c>
      <c r="Y120" s="12">
        <v>46.325143753267319</v>
      </c>
      <c r="Z120" s="3">
        <v>46.930000000000007</v>
      </c>
      <c r="AA120" s="3">
        <v>41.562499999999972</v>
      </c>
      <c r="AB120" s="3">
        <v>23.124999999999968</v>
      </c>
      <c r="AC120" s="3">
        <v>0.55639097744360866</v>
      </c>
    </row>
    <row r="121" spans="1:29" x14ac:dyDescent="0.35">
      <c r="V121" s="23"/>
    </row>
    <row r="122" spans="1:29" x14ac:dyDescent="0.35">
      <c r="V122" s="2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survey</vt:lpstr>
      <vt:lpstr>volaser</vt:lpstr>
      <vt:lpstr>gas</vt:lpstr>
      <vt:lpstr>parameters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Kelsey</dc:creator>
  <cp:lastModifiedBy>Shaw, Kelsey</cp:lastModifiedBy>
  <dcterms:created xsi:type="dcterms:W3CDTF">2021-06-07T13:11:22Z</dcterms:created>
  <dcterms:modified xsi:type="dcterms:W3CDTF">2024-07-08T09:01:57Z</dcterms:modified>
</cp:coreProperties>
</file>