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hawkels\Kelsey - Caetano - Linda\Sampling &amp; Field &amp; Lab\Raw Data\0 - raw_data\"/>
    </mc:Choice>
  </mc:AlternateContent>
  <bookViews>
    <workbookView xWindow="-120" yWindow="-120" windowWidth="29040" windowHeight="15720" tabRatio="661" activeTab="3"/>
  </bookViews>
  <sheets>
    <sheet name="survey" sheetId="16" r:id="rId1"/>
    <sheet name="volaser" sheetId="19" r:id="rId2"/>
    <sheet name="gas" sheetId="28" r:id="rId3"/>
    <sheet name="parameters" sheetId="15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<sst xmlns="http://schemas.openxmlformats.org/spreadsheetml/2006/main" count="1722" uniqueCount="373">
  <si>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</si>
  <si>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</si>
  <si>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</si>
  <si>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</si>
  <si>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</si>
  <si>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</si>
  <si>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</si>
  <si>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</si>
  <si>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</si>
  <si>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</si>
  <si>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</si>
  <si>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</si>
  <si>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</si>
  <si>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</si>
  <si>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Old pipe, holding tank with pump, suspects leaking groundwater in winter, contents of tank very clear</t>
  </si>
  <si>
    <t>Septic field above - pumps up, 6 bathrooms, 2 kitchens, second chamber sampled</t>
  </si>
  <si>
    <t>Cement lined lid, two chambered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</si>
  <si>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</si>
  <si>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</si>
  <si>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</si>
  <si>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</si>
  <si>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</si>
  <si>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</si>
  <si>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</si>
  <si>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</si>
  <si>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Thick scum layer</t>
  </si>
  <si>
    <t>Pump issue, pink scum layer</t>
  </si>
  <si>
    <t xml:space="preserve">Household, small pink scum layer </t>
  </si>
  <si>
    <t>09-PL-09052023</t>
  </si>
  <si>
    <t>10-DC-09052023</t>
  </si>
  <si>
    <t>5a</t>
  </si>
  <si>
    <t>5b</t>
  </si>
  <si>
    <t>School</t>
  </si>
  <si>
    <t>Sampled from aerobic settling chamber - see image of layout taken from control box. pH probe was not reading right - offset by a factor of 2 likely due to a loose connection</t>
  </si>
  <si>
    <t>Scum layer had floating solids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</si>
  <si>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</si>
  <si>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</si>
  <si>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</si>
  <si>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</si>
  <si>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</si>
  <si>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</si>
  <si>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</si>
  <si>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</si>
  <si>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</si>
  <si>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</si>
  <si>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</si>
  <si>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Office building</t>
  </si>
  <si>
    <t xml:space="preserve">Community Hall Pender Island </t>
  </si>
  <si>
    <t xml:space="preserve">Household </t>
  </si>
  <si>
    <t xml:space="preserve">Library Pender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</si>
  <si>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</si>
  <si>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</si>
  <si>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</si>
  <si>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</si>
  <si>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</si>
  <si>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</si>
  <si>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</si>
  <si>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</si>
  <si>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</si>
  <si>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</si>
  <si>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Household deep cove</t>
  </si>
  <si>
    <t>really old tank household deep cove</t>
  </si>
  <si>
    <t>Pender Island household</t>
  </si>
  <si>
    <t>Could not measure volume; double thick scum layer</t>
  </si>
  <si>
    <t>21-PI-21062023</t>
  </si>
  <si>
    <t>22-MET-21062023</t>
  </si>
  <si>
    <t>10a</t>
  </si>
  <si>
    <t>10b</t>
  </si>
  <si>
    <t>Metchosin</t>
  </si>
  <si>
    <t>Golf Course</t>
  </si>
  <si>
    <t xml:space="preserve">Old tank 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</si>
  <si>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</si>
  <si>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</si>
  <si>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</si>
  <si>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</si>
  <si>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</si>
  <si>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</si>
  <si>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</si>
  <si>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 xml:space="preserve">Septic leach field </t>
  </si>
  <si>
    <t>Cistern flush</t>
  </si>
  <si>
    <t>Paper</t>
  </si>
  <si>
    <t xml:space="preserve">Bleach </t>
  </si>
  <si>
    <t>Toilet Bathing Laundry Kitchen</t>
  </si>
  <si>
    <t>Tap inside building</t>
  </si>
  <si>
    <t>More than 10 years old</t>
  </si>
  <si>
    <t>Technician/Mason</t>
  </si>
  <si>
    <t xml:space="preserve">Leach field - second tank is aerated </t>
  </si>
  <si>
    <t>Bleach, CLR</t>
  </si>
  <si>
    <t xml:space="preserve">Drainage field 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</si>
  <si>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</si>
  <si>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</si>
  <si>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</si>
  <si>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</si>
  <si>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</si>
  <si>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</si>
  <si>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</si>
  <si>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</si>
  <si>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</si>
  <si>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</si>
  <si>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</si>
  <si>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</si>
  <si>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</si>
  <si>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</si>
  <si>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</si>
  <si>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</si>
  <si>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</si>
  <si>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</si>
  <si>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>Leach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</si>
  <si>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</si>
  <si>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</si>
  <si>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</si>
  <si>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</si>
  <si>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</si>
  <si>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</si>
  <si>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</si>
  <si>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 xml:space="preserve">Thick scum layer, two households connected (one main and one airbnb, equalization tank pumps both to septic field. </t>
  </si>
  <si>
    <t>Commercial place</t>
  </si>
  <si>
    <t xml:space="preserve">Very shallow, only took one sample, bio additives added. </t>
  </si>
  <si>
    <t>Thick scum, bio additives added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</si>
  <si>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</si>
  <si>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</si>
  <si>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</si>
  <si>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</si>
  <si>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</si>
  <si>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</si>
  <si>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</si>
  <si>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</si>
  <si>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</si>
  <si>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</si>
  <si>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</si>
  <si>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</si>
  <si>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</si>
  <si>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</si>
  <si>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</si>
  <si>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</si>
  <si>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</si>
  <si>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</si>
  <si>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</si>
  <si>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</si>
  <si>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</si>
  <si>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</si>
  <si>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</si>
  <si>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</si>
  <si>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</si>
  <si>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</si>
  <si>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</si>
  <si>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</si>
  <si>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</si>
  <si>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</si>
  <si>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</si>
  <si>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</si>
  <si>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</si>
  <si>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</si>
  <si>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</si>
  <si>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</si>
  <si>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</si>
  <si>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</si>
  <si>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</si>
  <si>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</si>
  <si>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</si>
  <si>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</si>
  <si>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</si>
  <si>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</si>
  <si>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</si>
  <si>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</si>
  <si>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</si>
  <si>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Other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</si>
  <si>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</si>
  <si>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</si>
  <si>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</si>
  <si>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</si>
  <si>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</si>
  <si>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</si>
  <si>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</si>
  <si>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</si>
  <si>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</si>
  <si>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</si>
  <si>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</si>
  <si>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</si>
  <si>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</si>
  <si>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</si>
  <si>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</si>
  <si>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</si>
  <si>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</si>
  <si>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</si>
  <si>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</si>
  <si>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</si>
  <si>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</si>
  <si>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where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</si>
  <si>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</si>
  <si>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</si>
  <si>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</si>
  <si>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</si>
  <si>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</si>
  <si>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</si>
  <si>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</si>
  <si>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</si>
  <si>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</si>
  <si>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</si>
  <si>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notes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</si>
  <si>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</si>
  <si>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</si>
  <si>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</si>
  <si>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</si>
  <si>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</si>
  <si>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</si>
  <si>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</si>
  <si>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</si>
  <si>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</si>
  <si>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</si>
  <si>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</si>
  <si>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</si>
  <si>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</si>
  <si>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</si>
  <si>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</si>
  <si>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</si>
  <si>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</si>
  <si>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</si>
  <si>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</si>
  <si>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</si>
  <si>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</si>
  <si>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</si>
  <si>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</si>
  <si>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</si>
  <si>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</si>
  <si>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</si>
  <si>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</si>
  <si>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</si>
  <si>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</si>
  <si>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</si>
  <si>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</si>
  <si>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</si>
  <si>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</si>
  <si>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</si>
  <si>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</si>
  <si>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</si>
  <si>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</si>
  <si>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</si>
  <si>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</si>
  <si>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</si>
  <si>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</si>
  <si>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</si>
  <si>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</si>
  <si>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</si>
  <si>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</si>
  <si>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</si>
  <si>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</si>
  <si>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</si>
  <si>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</si>
  <si>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</si>
  <si>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</si>
  <si>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</si>
  <si>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</si>
  <si>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</si>
  <si>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</si>
  <si>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</si>
  <si>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</si>
  <si>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</si>
  <si>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</si>
  <si>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</si>
  <si>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</si>
  <si>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</si>
  <si>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</si>
  <si>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</si>
  <si>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</si>
  <si>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</si>
  <si>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</si>
  <si>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</si>
  <si>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</si>
  <si>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</si>
  <si>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</si>
  <si>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</si>
  <si>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</si>
  <si>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</si>
  <si>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</si>
  <si>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</si>
  <si>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</si>
  <si>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</si>
  <si>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</si>
  <si>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</si>
  <si>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</si>
  <si>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</si>
  <si>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</si>
  <si>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</si>
  <si>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</si>
  <si>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</si>
  <si>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Tap inside building Standpipe outside building</t>
  </si>
  <si>
    <t>Standpipe outside building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</si>
  <si>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</si>
  <si>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</si>
  <si>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</si>
  <si>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</si>
  <si>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</si>
  <si>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</si>
  <si>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</si>
  <si>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</si>
  <si>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</si>
  <si>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</si>
  <si>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</si>
  <si>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</si>
  <si>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</si>
  <si>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</si>
  <si>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</si>
  <si>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Guesthouse - Destiny</t>
  </si>
  <si>
    <t>4 tanks in one compound - large tank</t>
  </si>
  <si>
    <t>4 tanks compound - 2nd tank</t>
  </si>
  <si>
    <t>4 tank compound - first of two connected tanks</t>
  </si>
  <si>
    <t xml:space="preserve">4 tank compound - 2nd of divided tanks </t>
  </si>
  <si>
    <t>Apartments "sandec"</t>
  </si>
  <si>
    <t xml:space="preserve">Eric's place </t>
  </si>
  <si>
    <t>Apartments - Barber</t>
  </si>
  <si>
    <t xml:space="preserve">Hostel - Fatuma </t>
  </si>
  <si>
    <t>Apartments - two tanks (grey water)</t>
  </si>
  <si>
    <t>Apartments - Two tanks (blackwater)</t>
  </si>
  <si>
    <t xml:space="preserve">Hostel - Elizabeth exotic </t>
  </si>
  <si>
    <t>Chairman's place</t>
  </si>
  <si>
    <t>Old lady's house</t>
  </si>
  <si>
    <t>Boda boda house</t>
  </si>
  <si>
    <t>Guesthouse</t>
  </si>
  <si>
    <t xml:space="preserve">Robert's place </t>
  </si>
  <si>
    <t>MLK Hostel</t>
  </si>
  <si>
    <t>Open houses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</si>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</sst>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</cellXfs>
  <cellStyles count="2">
    <cellStyle name="fmtMidLeft" xfId="1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42"/>
  <sheetViews>
    <sheetView workbookViewId="0">
      <selection activeCell="AN37" sqref="AN37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6.453125" bestFit="1" customWidth="1"/>
    <col min="31" max="31" width="17.36328125" bestFit="1" customWidth="1"/>
    <col min="32" max="32" width="9.1796875" bestFit="1" customWidth="1"/>
    <col min="33" max="33" width="20.26953125" bestFit="1" customWidth="1"/>
    <col min="34" max="34" width="22.81640625" bestFit="1" customWidth="1"/>
    <col min="35" max="35" width="18.90625" bestFit="1" customWidth="1"/>
    <col min="36" max="36" width="12.36328125" bestFit="1" customWidth="1"/>
    <col min="37" max="37" width="41.7265625" bestFit="1" customWidth="1"/>
    <col min="38" max="38" width="11.81640625" bestFit="1" customWidth="1"/>
    <col min="39" max="39" width="10.7265625" bestFit="1" customWidth="1"/>
    <col min="40" max="40" width="35.453125" bestFit="1" customWidth="1"/>
    <col min="41" max="41" width="146.1796875" bestFit="1" customWidth="1"/>
  </cols>
  <sheetData>
    <row r="1" spans="1:41" x14ac:dyDescent="0.35">
      <c r="A1" s="4" t="s">
        <v>158</v>
      </c>
      <c r="B1" s="4" t="s">
        <v>159</v>
      </c>
      <c r="C1" s="4" t="s">
        <v>160</v>
      </c>
      <c r="D1" s="4" t="s">
        <v>161</v>
      </c>
      <c r="E1" s="4" t="s">
        <v>162</v>
      </c>
      <c r="F1" s="4" t="s">
        <v>154</v>
      </c>
      <c r="G1" s="4" t="s">
        <v>163</v>
      </c>
      <c r="H1" s="4" t="s">
        <v>164</v>
      </c>
      <c r="I1" s="1" t="s">
        <v>167</v>
      </c>
      <c r="J1" s="1" t="s">
        <v>168</v>
      </c>
      <c r="K1" s="1" t="s">
        <v>169</v>
      </c>
      <c r="L1" s="1" t="s">
        <v>170</v>
      </c>
      <c r="M1" s="1" t="s">
        <v>171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  <c r="AC1" s="1" t="s">
        <v>187</v>
      </c>
      <c r="AD1" s="1" t="s">
        <v>188</v>
      </c>
      <c r="AE1" s="1" t="s">
        <v>189</v>
      </c>
      <c r="AF1" s="1" t="s">
        <v>190</v>
      </c>
      <c r="AG1" s="1" t="s">
        <v>191</v>
      </c>
      <c r="AH1" s="1" t="s">
        <v>192</v>
      </c>
      <c r="AI1" s="1" t="s">
        <v>193</v>
      </c>
      <c r="AJ1" s="1" t="s">
        <v>194</v>
      </c>
      <c r="AK1" s="1" t="s">
        <v>195</v>
      </c>
      <c r="AL1" s="1" t="s">
        <v>196</v>
      </c>
      <c r="AM1" s="1" t="s">
        <v>197</v>
      </c>
      <c r="AN1" s="1" t="s">
        <v>198</v>
      </c>
      <c r="AO1" s="1" t="s">
        <v>199</v>
      </c>
    </row>
    <row r="2" spans="1:41" x14ac:dyDescent="0.35">
      <c r="A2" s="7" t="s">
        <v>7</v>
      </c>
      <c r="B2" s="7" t="s">
        <v>4</v>
      </c>
      <c r="C2" s="13">
        <v>45022</v>
      </c>
      <c r="D2" s="2" t="s">
        <v>45</v>
      </c>
      <c r="E2" s="2" t="s">
        <v>12</v>
      </c>
      <c r="F2" s="6">
        <v>2</v>
      </c>
      <c r="G2" s="6">
        <v>5</v>
      </c>
      <c r="H2" s="2" t="s">
        <v>72</v>
      </c>
      <c r="I2" s="2" t="s">
        <v>73</v>
      </c>
      <c r="J2" t="s">
        <v>74</v>
      </c>
      <c r="K2" t="s">
        <v>75</v>
      </c>
      <c r="L2" t="s">
        <v>76</v>
      </c>
      <c r="M2" t="s">
        <v>72</v>
      </c>
      <c r="O2" t="s">
        <v>77</v>
      </c>
      <c r="P2" t="s">
        <v>86</v>
      </c>
      <c r="Q2" t="s">
        <v>79</v>
      </c>
      <c r="R2" t="s">
        <v>80</v>
      </c>
      <c r="S2" s="12">
        <v>1</v>
      </c>
      <c r="T2" s="12">
        <v>0</v>
      </c>
      <c r="U2" t="s">
        <v>72</v>
      </c>
      <c r="W2" t="s">
        <v>87</v>
      </c>
      <c r="X2" t="s">
        <v>82</v>
      </c>
      <c r="Y2" s="12">
        <v>1</v>
      </c>
      <c r="Z2" s="12">
        <v>1</v>
      </c>
      <c r="AA2" s="12">
        <v>1</v>
      </c>
      <c r="AB2" s="12">
        <v>1</v>
      </c>
      <c r="AC2" t="s">
        <v>77</v>
      </c>
      <c r="AD2" t="s">
        <v>83</v>
      </c>
      <c r="AE2" s="12">
        <v>1</v>
      </c>
      <c r="AF2" s="12">
        <v>0</v>
      </c>
      <c r="AG2" t="s">
        <v>84</v>
      </c>
      <c r="AH2" t="s">
        <v>85</v>
      </c>
      <c r="AJ2" t="s">
        <v>77</v>
      </c>
      <c r="AK2">
        <v>15</v>
      </c>
      <c r="AL2" t="s">
        <v>72</v>
      </c>
      <c r="AM2" t="s">
        <v>72</v>
      </c>
      <c r="AO2" t="s">
        <v>14</v>
      </c>
    </row>
    <row r="3" spans="1:41" x14ac:dyDescent="0.35">
      <c r="A3" s="2" t="s">
        <v>8</v>
      </c>
      <c r="B3" s="7" t="s">
        <v>5</v>
      </c>
      <c r="C3" s="13">
        <v>45022</v>
      </c>
      <c r="D3" s="2" t="s">
        <v>45</v>
      </c>
      <c r="E3" s="2" t="s">
        <v>12</v>
      </c>
      <c r="F3" s="6">
        <v>3</v>
      </c>
      <c r="G3" s="6">
        <v>1</v>
      </c>
      <c r="H3" s="2" t="s">
        <v>72</v>
      </c>
      <c r="I3" s="2" t="s">
        <v>73</v>
      </c>
      <c r="J3" t="s">
        <v>74</v>
      </c>
      <c r="K3" t="s">
        <v>75</v>
      </c>
      <c r="L3" t="s">
        <v>76</v>
      </c>
      <c r="M3" t="s">
        <v>72</v>
      </c>
      <c r="O3" t="s">
        <v>77</v>
      </c>
      <c r="P3" t="s">
        <v>78</v>
      </c>
      <c r="Q3" t="s">
        <v>79</v>
      </c>
      <c r="R3" t="s">
        <v>80</v>
      </c>
      <c r="S3" s="12">
        <v>1</v>
      </c>
      <c r="T3" s="12">
        <v>0</v>
      </c>
      <c r="U3" t="s">
        <v>72</v>
      </c>
      <c r="W3" t="s">
        <v>81</v>
      </c>
      <c r="X3" t="s">
        <v>82</v>
      </c>
      <c r="Y3" s="12">
        <v>1</v>
      </c>
      <c r="Z3" s="12">
        <v>1</v>
      </c>
      <c r="AA3" s="12">
        <v>1</v>
      </c>
      <c r="AB3" s="12">
        <v>1</v>
      </c>
      <c r="AC3" t="s">
        <v>77</v>
      </c>
      <c r="AD3" t="s">
        <v>83</v>
      </c>
      <c r="AE3" s="12">
        <v>1</v>
      </c>
      <c r="AF3" s="12">
        <v>0</v>
      </c>
      <c r="AG3" t="s">
        <v>84</v>
      </c>
      <c r="AH3" t="s">
        <v>85</v>
      </c>
      <c r="AJ3" t="s">
        <v>77</v>
      </c>
      <c r="AL3" t="s">
        <v>72</v>
      </c>
      <c r="AM3" t="s">
        <v>72</v>
      </c>
      <c r="AO3" t="s">
        <v>115</v>
      </c>
    </row>
    <row r="4" spans="1:41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77</v>
      </c>
      <c r="I4" s="2" t="s">
        <v>73</v>
      </c>
      <c r="J4" t="s">
        <v>74</v>
      </c>
      <c r="L4" t="s">
        <v>76</v>
      </c>
      <c r="M4" t="s">
        <v>72</v>
      </c>
      <c r="O4" t="s">
        <v>77</v>
      </c>
      <c r="P4" t="s">
        <v>88</v>
      </c>
      <c r="Q4" t="s">
        <v>79</v>
      </c>
      <c r="R4" t="s">
        <v>80</v>
      </c>
      <c r="S4" s="12">
        <v>1</v>
      </c>
      <c r="T4" s="12">
        <v>0</v>
      </c>
      <c r="U4" t="s">
        <v>72</v>
      </c>
      <c r="X4" t="s">
        <v>89</v>
      </c>
      <c r="Y4" s="12">
        <v>1</v>
      </c>
      <c r="Z4" s="12">
        <v>1</v>
      </c>
      <c r="AA4" s="12">
        <v>1</v>
      </c>
      <c r="AB4" s="12">
        <v>1</v>
      </c>
      <c r="AC4" t="s">
        <v>77</v>
      </c>
      <c r="AD4" t="s">
        <v>83</v>
      </c>
      <c r="AE4" s="12">
        <v>1</v>
      </c>
      <c r="AF4" s="12">
        <v>0</v>
      </c>
      <c r="AG4" t="s">
        <v>84</v>
      </c>
      <c r="AH4" t="s">
        <v>85</v>
      </c>
      <c r="AJ4" t="s">
        <v>77</v>
      </c>
      <c r="AK4">
        <v>5</v>
      </c>
      <c r="AL4" t="s">
        <v>72</v>
      </c>
      <c r="AM4" t="s">
        <v>72</v>
      </c>
      <c r="AO4" t="s">
        <v>15</v>
      </c>
    </row>
    <row r="5" spans="1:41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77</v>
      </c>
      <c r="I5" s="2" t="s">
        <v>73</v>
      </c>
      <c r="J5" t="s">
        <v>74</v>
      </c>
      <c r="K5" t="s">
        <v>75</v>
      </c>
      <c r="L5" t="s">
        <v>90</v>
      </c>
      <c r="M5" t="s">
        <v>72</v>
      </c>
      <c r="N5" t="s">
        <v>77</v>
      </c>
      <c r="O5" t="s">
        <v>77</v>
      </c>
      <c r="P5" t="s">
        <v>91</v>
      </c>
      <c r="Q5" t="s">
        <v>79</v>
      </c>
      <c r="R5" t="s">
        <v>80</v>
      </c>
      <c r="S5" s="12">
        <v>1</v>
      </c>
      <c r="T5" s="12">
        <v>0</v>
      </c>
      <c r="U5" t="s">
        <v>72</v>
      </c>
      <c r="X5" t="s">
        <v>92</v>
      </c>
      <c r="Y5" s="12">
        <v>1</v>
      </c>
      <c r="Z5" s="12">
        <v>1</v>
      </c>
      <c r="AA5" s="12">
        <v>0</v>
      </c>
      <c r="AB5" s="12">
        <v>0</v>
      </c>
      <c r="AC5" t="s">
        <v>77</v>
      </c>
      <c r="AD5" t="s">
        <v>83</v>
      </c>
      <c r="AE5" s="12">
        <v>1</v>
      </c>
      <c r="AF5" s="12">
        <v>0</v>
      </c>
      <c r="AG5" t="s">
        <v>84</v>
      </c>
      <c r="AH5" t="s">
        <v>85</v>
      </c>
      <c r="AJ5" t="s">
        <v>77</v>
      </c>
      <c r="AK5">
        <v>6</v>
      </c>
      <c r="AL5" t="s">
        <v>72</v>
      </c>
      <c r="AM5" t="s">
        <v>72</v>
      </c>
      <c r="AO5" t="s">
        <v>16</v>
      </c>
    </row>
    <row r="6" spans="1:41" x14ac:dyDescent="0.35">
      <c r="A6" s="2" t="s">
        <v>17</v>
      </c>
      <c r="B6" s="7" t="s">
        <v>18</v>
      </c>
      <c r="C6" s="13">
        <v>45035</v>
      </c>
      <c r="D6" s="2" t="s">
        <v>71</v>
      </c>
      <c r="E6" s="2" t="s">
        <v>12</v>
      </c>
      <c r="F6" s="6">
        <v>2</v>
      </c>
      <c r="G6" s="6">
        <v>2</v>
      </c>
      <c r="H6" s="2" t="s">
        <v>72</v>
      </c>
      <c r="I6" s="2" t="s">
        <v>73</v>
      </c>
      <c r="J6" t="s">
        <v>74</v>
      </c>
      <c r="K6" t="s">
        <v>75</v>
      </c>
      <c r="L6" t="s">
        <v>90</v>
      </c>
      <c r="M6" t="s">
        <v>72</v>
      </c>
      <c r="N6" t="s">
        <v>77</v>
      </c>
      <c r="O6" t="s">
        <v>77</v>
      </c>
      <c r="P6" t="s">
        <v>93</v>
      </c>
      <c r="Q6" t="s">
        <v>79</v>
      </c>
      <c r="R6" t="s">
        <v>94</v>
      </c>
      <c r="S6" s="12">
        <v>1</v>
      </c>
      <c r="T6" s="12">
        <v>1</v>
      </c>
      <c r="U6" t="s">
        <v>72</v>
      </c>
      <c r="X6" t="s">
        <v>82</v>
      </c>
      <c r="Y6" s="12">
        <v>1</v>
      </c>
      <c r="Z6" s="12">
        <v>1</v>
      </c>
      <c r="AA6" s="12">
        <v>1</v>
      </c>
      <c r="AB6" s="12">
        <v>1</v>
      </c>
      <c r="AC6" t="s">
        <v>77</v>
      </c>
      <c r="AD6" t="s">
        <v>83</v>
      </c>
      <c r="AE6" s="12">
        <v>1</v>
      </c>
      <c r="AF6" s="12">
        <v>0</v>
      </c>
      <c r="AG6" t="s">
        <v>84</v>
      </c>
      <c r="AH6" t="s">
        <v>85</v>
      </c>
      <c r="AJ6" t="s">
        <v>77</v>
      </c>
      <c r="AK6">
        <v>5</v>
      </c>
      <c r="AL6" t="s">
        <v>72</v>
      </c>
      <c r="AM6" t="s">
        <v>72</v>
      </c>
      <c r="AO6" t="s">
        <v>25</v>
      </c>
    </row>
    <row r="7" spans="1:41" x14ac:dyDescent="0.35">
      <c r="A7" s="2" t="s">
        <v>19</v>
      </c>
      <c r="B7" s="7" t="s">
        <v>20</v>
      </c>
      <c r="C7" s="13">
        <v>45035</v>
      </c>
      <c r="D7" s="2" t="s">
        <v>71</v>
      </c>
      <c r="E7" s="2" t="s">
        <v>165</v>
      </c>
      <c r="F7" s="6">
        <f>410</f>
        <v>410</v>
      </c>
      <c r="G7" s="6">
        <f>1/12</f>
        <v>8.3333333333333329E-2</v>
      </c>
      <c r="H7" s="2"/>
      <c r="I7" s="2"/>
      <c r="J7" t="s">
        <v>74</v>
      </c>
      <c r="K7" t="s">
        <v>75</v>
      </c>
      <c r="L7" t="s">
        <v>90</v>
      </c>
      <c r="M7" t="s">
        <v>72</v>
      </c>
      <c r="N7" t="s">
        <v>77</v>
      </c>
      <c r="O7" t="s">
        <v>77</v>
      </c>
      <c r="P7" t="s">
        <v>99</v>
      </c>
      <c r="Q7" t="s">
        <v>79</v>
      </c>
      <c r="R7" t="s">
        <v>80</v>
      </c>
      <c r="S7" s="12">
        <v>1</v>
      </c>
      <c r="T7" s="12">
        <v>0</v>
      </c>
      <c r="U7" t="s">
        <v>72</v>
      </c>
      <c r="X7" t="s">
        <v>100</v>
      </c>
      <c r="Y7" s="12">
        <v>1</v>
      </c>
      <c r="Z7" s="12">
        <v>0</v>
      </c>
      <c r="AA7" s="12">
        <v>0</v>
      </c>
      <c r="AB7" s="12">
        <v>0</v>
      </c>
      <c r="AC7" t="s">
        <v>77</v>
      </c>
      <c r="AD7" t="s">
        <v>83</v>
      </c>
      <c r="AE7" s="12">
        <v>1</v>
      </c>
      <c r="AF7" s="12">
        <v>0</v>
      </c>
      <c r="AG7" t="s">
        <v>84</v>
      </c>
      <c r="AH7" t="s">
        <v>97</v>
      </c>
      <c r="AJ7" t="s">
        <v>77</v>
      </c>
      <c r="AK7">
        <v>0.5</v>
      </c>
      <c r="AL7" t="s">
        <v>72</v>
      </c>
      <c r="AM7" t="s">
        <v>72</v>
      </c>
      <c r="AO7" t="s">
        <v>116</v>
      </c>
    </row>
    <row r="8" spans="1:41" x14ac:dyDescent="0.35">
      <c r="A8" s="2" t="s">
        <v>21</v>
      </c>
      <c r="B8" s="2" t="s">
        <v>23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72</v>
      </c>
      <c r="I8" s="2" t="s">
        <v>73</v>
      </c>
      <c r="J8" t="s">
        <v>74</v>
      </c>
      <c r="K8" t="s">
        <v>75</v>
      </c>
      <c r="L8" t="s">
        <v>90</v>
      </c>
      <c r="M8" t="s">
        <v>72</v>
      </c>
      <c r="N8" t="s">
        <v>77</v>
      </c>
      <c r="O8" t="s">
        <v>77</v>
      </c>
      <c r="P8" t="s">
        <v>98</v>
      </c>
      <c r="Q8" t="s">
        <v>79</v>
      </c>
      <c r="R8" t="s">
        <v>80</v>
      </c>
      <c r="S8" s="12">
        <v>1</v>
      </c>
      <c r="T8" s="12">
        <v>0</v>
      </c>
      <c r="U8" t="s">
        <v>72</v>
      </c>
      <c r="X8" t="s">
        <v>82</v>
      </c>
      <c r="Y8" s="12">
        <v>1</v>
      </c>
      <c r="Z8" s="12">
        <v>1</v>
      </c>
      <c r="AA8" s="12">
        <v>1</v>
      </c>
      <c r="AB8" s="12">
        <v>1</v>
      </c>
      <c r="AC8" t="s">
        <v>77</v>
      </c>
      <c r="AD8" t="s">
        <v>83</v>
      </c>
      <c r="AE8" s="12">
        <v>1</v>
      </c>
      <c r="AF8" s="12">
        <v>0</v>
      </c>
      <c r="AG8" t="s">
        <v>84</v>
      </c>
      <c r="AH8" t="s">
        <v>85</v>
      </c>
      <c r="AI8">
        <v>4.5</v>
      </c>
      <c r="AJ8" t="s">
        <v>77</v>
      </c>
      <c r="AK8">
        <v>10</v>
      </c>
      <c r="AL8" t="s">
        <v>72</v>
      </c>
      <c r="AM8" t="s">
        <v>72</v>
      </c>
      <c r="AO8" t="s">
        <v>26</v>
      </c>
    </row>
    <row r="9" spans="1:41" x14ac:dyDescent="0.35">
      <c r="A9" s="2" t="s">
        <v>22</v>
      </c>
      <c r="B9" s="2" t="s">
        <v>24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72</v>
      </c>
      <c r="I9" s="2" t="s">
        <v>73</v>
      </c>
      <c r="J9" t="s">
        <v>74</v>
      </c>
      <c r="K9" t="s">
        <v>75</v>
      </c>
      <c r="L9" t="s">
        <v>76</v>
      </c>
      <c r="M9" t="s">
        <v>72</v>
      </c>
      <c r="N9" t="s">
        <v>77</v>
      </c>
      <c r="O9" t="s">
        <v>77</v>
      </c>
      <c r="P9" t="s">
        <v>95</v>
      </c>
      <c r="Q9" t="s">
        <v>79</v>
      </c>
      <c r="R9" t="s">
        <v>80</v>
      </c>
      <c r="S9" s="12">
        <v>1</v>
      </c>
      <c r="T9" s="12">
        <v>0</v>
      </c>
      <c r="U9" t="s">
        <v>72</v>
      </c>
      <c r="X9" t="s">
        <v>82</v>
      </c>
      <c r="Y9" s="12">
        <v>1</v>
      </c>
      <c r="Z9" s="12">
        <v>1</v>
      </c>
      <c r="AA9" s="12">
        <v>1</v>
      </c>
      <c r="AB9" s="12">
        <v>1</v>
      </c>
      <c r="AC9" t="s">
        <v>77</v>
      </c>
      <c r="AD9" t="s">
        <v>83</v>
      </c>
      <c r="AE9" s="12">
        <v>1</v>
      </c>
      <c r="AF9" s="12">
        <v>0</v>
      </c>
      <c r="AG9" t="s">
        <v>96</v>
      </c>
      <c r="AH9" t="s">
        <v>97</v>
      </c>
      <c r="AL9" t="s">
        <v>72</v>
      </c>
      <c r="AM9" t="s">
        <v>72</v>
      </c>
      <c r="AO9" t="s">
        <v>27</v>
      </c>
    </row>
    <row r="10" spans="1:41" x14ac:dyDescent="0.35">
      <c r="A10" s="2" t="s">
        <v>28</v>
      </c>
      <c r="B10" s="7" t="s">
        <v>30</v>
      </c>
      <c r="C10" s="13">
        <v>45055</v>
      </c>
      <c r="D10" s="2" t="s">
        <v>13</v>
      </c>
      <c r="E10" s="2" t="s">
        <v>32</v>
      </c>
      <c r="F10" s="6">
        <v>304</v>
      </c>
      <c r="G10" s="6">
        <v>2.5</v>
      </c>
      <c r="H10" s="2"/>
      <c r="I10" s="2"/>
      <c r="J10" t="s">
        <v>101</v>
      </c>
      <c r="K10" t="s">
        <v>75</v>
      </c>
      <c r="L10" t="s">
        <v>90</v>
      </c>
      <c r="M10" t="s">
        <v>72</v>
      </c>
      <c r="N10" t="s">
        <v>77</v>
      </c>
      <c r="O10" t="s">
        <v>77</v>
      </c>
      <c r="P10" t="s">
        <v>93</v>
      </c>
      <c r="Q10" t="s">
        <v>79</v>
      </c>
      <c r="R10" t="s">
        <v>80</v>
      </c>
      <c r="S10" s="12">
        <v>1</v>
      </c>
      <c r="T10" s="12">
        <v>0</v>
      </c>
      <c r="U10" t="s">
        <v>72</v>
      </c>
      <c r="X10" t="s">
        <v>82</v>
      </c>
      <c r="Y10" s="12">
        <v>1</v>
      </c>
      <c r="Z10" s="12">
        <v>1</v>
      </c>
      <c r="AA10" s="12">
        <v>1</v>
      </c>
      <c r="AB10" s="12">
        <v>1</v>
      </c>
      <c r="AC10" t="s">
        <v>77</v>
      </c>
      <c r="AD10" t="s">
        <v>83</v>
      </c>
      <c r="AE10" s="12">
        <v>1</v>
      </c>
      <c r="AF10" s="12">
        <v>0</v>
      </c>
      <c r="AG10" t="s">
        <v>84</v>
      </c>
      <c r="AH10" t="s">
        <v>97</v>
      </c>
      <c r="AL10" t="s">
        <v>72</v>
      </c>
      <c r="AM10" t="s">
        <v>72</v>
      </c>
      <c r="AO10" t="s">
        <v>33</v>
      </c>
    </row>
    <row r="11" spans="1:41" x14ac:dyDescent="0.35">
      <c r="A11" s="2" t="s">
        <v>29</v>
      </c>
      <c r="B11" s="7" t="s">
        <v>31</v>
      </c>
      <c r="C11" s="13">
        <v>45055</v>
      </c>
      <c r="D11" s="2" t="s">
        <v>13</v>
      </c>
      <c r="E11" s="2" t="s">
        <v>32</v>
      </c>
      <c r="F11" s="6">
        <v>368</v>
      </c>
      <c r="G11" s="6">
        <v>3</v>
      </c>
      <c r="H11" s="2"/>
      <c r="I11" s="2"/>
      <c r="J11" t="s">
        <v>102</v>
      </c>
      <c r="K11" t="s">
        <v>75</v>
      </c>
      <c r="L11" t="s">
        <v>90</v>
      </c>
      <c r="M11" t="s">
        <v>72</v>
      </c>
      <c r="N11" t="s">
        <v>77</v>
      </c>
      <c r="O11" t="s">
        <v>77</v>
      </c>
      <c r="P11" t="s">
        <v>93</v>
      </c>
      <c r="Q11" t="s">
        <v>79</v>
      </c>
      <c r="R11" t="s">
        <v>80</v>
      </c>
      <c r="S11" s="12">
        <v>1</v>
      </c>
      <c r="T11" s="12">
        <v>0</v>
      </c>
      <c r="U11" t="s">
        <v>72</v>
      </c>
      <c r="X11" t="s">
        <v>82</v>
      </c>
      <c r="Y11" s="12">
        <v>1</v>
      </c>
      <c r="Z11" s="12">
        <v>1</v>
      </c>
      <c r="AA11" s="12">
        <v>1</v>
      </c>
      <c r="AB11" s="12">
        <v>1</v>
      </c>
      <c r="AC11" t="s">
        <v>77</v>
      </c>
      <c r="AD11" t="s">
        <v>83</v>
      </c>
      <c r="AE11" s="12">
        <v>1</v>
      </c>
      <c r="AF11" s="12">
        <v>0</v>
      </c>
      <c r="AG11" t="s">
        <v>84</v>
      </c>
      <c r="AH11" t="s">
        <v>97</v>
      </c>
      <c r="AL11" t="s">
        <v>72</v>
      </c>
      <c r="AM11" t="s">
        <v>72</v>
      </c>
      <c r="AO11" t="s">
        <v>34</v>
      </c>
    </row>
    <row r="12" spans="1:41" x14ac:dyDescent="0.35">
      <c r="A12" s="2" t="s">
        <v>37</v>
      </c>
      <c r="B12" s="2" t="s">
        <v>35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72</v>
      </c>
      <c r="I12" s="2" t="s">
        <v>73</v>
      </c>
      <c r="J12" t="s">
        <v>74</v>
      </c>
      <c r="K12" t="s">
        <v>75</v>
      </c>
      <c r="L12" t="s">
        <v>90</v>
      </c>
      <c r="M12" t="s">
        <v>72</v>
      </c>
      <c r="N12" t="s">
        <v>77</v>
      </c>
      <c r="O12" t="s">
        <v>77</v>
      </c>
      <c r="P12" t="s">
        <v>93</v>
      </c>
      <c r="Q12" t="s">
        <v>79</v>
      </c>
      <c r="R12" t="s">
        <v>94</v>
      </c>
      <c r="S12" s="12">
        <v>1</v>
      </c>
      <c r="T12" s="12">
        <v>1</v>
      </c>
      <c r="U12" t="s">
        <v>103</v>
      </c>
      <c r="V12" t="s">
        <v>105</v>
      </c>
      <c r="W12" t="s">
        <v>106</v>
      </c>
      <c r="X12" t="s">
        <v>82</v>
      </c>
      <c r="Y12" s="12">
        <v>1</v>
      </c>
      <c r="Z12" s="12">
        <v>1</v>
      </c>
      <c r="AA12" s="12">
        <v>1</v>
      </c>
      <c r="AB12" s="12">
        <v>1</v>
      </c>
      <c r="AC12" t="s">
        <v>77</v>
      </c>
      <c r="AD12" t="s">
        <v>83</v>
      </c>
      <c r="AE12" s="12">
        <v>1</v>
      </c>
      <c r="AF12" s="12">
        <v>0</v>
      </c>
      <c r="AG12" t="s">
        <v>84</v>
      </c>
      <c r="AH12" t="s">
        <v>85</v>
      </c>
      <c r="AI12">
        <v>2.2000000000000002</v>
      </c>
      <c r="AJ12" t="s">
        <v>77</v>
      </c>
      <c r="AK12">
        <v>5.5</v>
      </c>
      <c r="AL12" t="s">
        <v>72</v>
      </c>
      <c r="AM12" t="s">
        <v>72</v>
      </c>
      <c r="AO12" t="s">
        <v>117</v>
      </c>
    </row>
    <row r="13" spans="1:41" x14ac:dyDescent="0.35">
      <c r="A13" s="2" t="s">
        <v>38</v>
      </c>
      <c r="B13" s="2" t="s">
        <v>36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72</v>
      </c>
      <c r="I13" s="2" t="s">
        <v>73</v>
      </c>
      <c r="J13" t="s">
        <v>74</v>
      </c>
      <c r="L13" t="s">
        <v>90</v>
      </c>
      <c r="M13" t="s">
        <v>72</v>
      </c>
      <c r="N13" t="s">
        <v>77</v>
      </c>
      <c r="O13" t="s">
        <v>77</v>
      </c>
      <c r="P13" t="s">
        <v>93</v>
      </c>
      <c r="Q13" t="s">
        <v>79</v>
      </c>
      <c r="R13" t="s">
        <v>80</v>
      </c>
      <c r="S13" s="12">
        <v>1</v>
      </c>
      <c r="T13" s="12">
        <v>0</v>
      </c>
      <c r="U13" t="s">
        <v>103</v>
      </c>
      <c r="V13" t="s">
        <v>104</v>
      </c>
      <c r="X13" t="s">
        <v>82</v>
      </c>
      <c r="Y13" s="12">
        <v>1</v>
      </c>
      <c r="Z13" s="12">
        <v>1</v>
      </c>
      <c r="AA13" s="12">
        <v>1</v>
      </c>
      <c r="AB13" s="12">
        <v>1</v>
      </c>
      <c r="AC13" t="s">
        <v>77</v>
      </c>
      <c r="AD13" t="s">
        <v>83</v>
      </c>
      <c r="AE13" s="12">
        <v>1</v>
      </c>
      <c r="AF13" s="12">
        <v>0</v>
      </c>
      <c r="AG13" t="s">
        <v>84</v>
      </c>
      <c r="AH13" t="s">
        <v>97</v>
      </c>
      <c r="AJ13" t="s">
        <v>77</v>
      </c>
      <c r="AK13">
        <v>5</v>
      </c>
      <c r="AL13" t="s">
        <v>72</v>
      </c>
      <c r="AM13" t="s">
        <v>72</v>
      </c>
      <c r="AO13" t="s">
        <v>118</v>
      </c>
    </row>
    <row r="14" spans="1:41" x14ac:dyDescent="0.35">
      <c r="A14" s="2" t="s">
        <v>39</v>
      </c>
      <c r="B14" s="2" t="s">
        <v>40</v>
      </c>
      <c r="C14" s="13">
        <v>45077</v>
      </c>
      <c r="D14" s="2" t="s">
        <v>45</v>
      </c>
      <c r="E14" s="2" t="s">
        <v>46</v>
      </c>
      <c r="F14" s="6">
        <v>10</v>
      </c>
      <c r="G14" s="6">
        <v>5</v>
      </c>
      <c r="H14" s="2"/>
      <c r="I14" s="2"/>
      <c r="J14" t="s">
        <v>74</v>
      </c>
      <c r="K14" t="s">
        <v>75</v>
      </c>
      <c r="L14" t="s">
        <v>90</v>
      </c>
      <c r="M14" t="s">
        <v>72</v>
      </c>
      <c r="N14" t="s">
        <v>77</v>
      </c>
      <c r="O14" t="s">
        <v>77</v>
      </c>
      <c r="P14" t="s">
        <v>93</v>
      </c>
      <c r="Q14" t="s">
        <v>79</v>
      </c>
      <c r="R14" t="s">
        <v>80</v>
      </c>
      <c r="S14" s="12">
        <v>1</v>
      </c>
      <c r="T14" s="12">
        <v>0</v>
      </c>
      <c r="U14" t="s">
        <v>72</v>
      </c>
      <c r="X14" t="s">
        <v>109</v>
      </c>
      <c r="Y14" s="12">
        <v>1</v>
      </c>
      <c r="Z14" s="12">
        <v>0</v>
      </c>
      <c r="AA14" s="12">
        <v>0</v>
      </c>
      <c r="AB14" s="12">
        <v>1</v>
      </c>
      <c r="AC14" t="s">
        <v>77</v>
      </c>
      <c r="AD14" t="s">
        <v>83</v>
      </c>
      <c r="AE14" s="12">
        <v>1</v>
      </c>
      <c r="AF14" s="12">
        <v>0</v>
      </c>
      <c r="AG14" t="s">
        <v>84</v>
      </c>
      <c r="AH14" t="s">
        <v>85</v>
      </c>
      <c r="AI14">
        <v>8</v>
      </c>
      <c r="AJ14" t="s">
        <v>77</v>
      </c>
      <c r="AK14">
        <v>6</v>
      </c>
      <c r="AL14" t="s">
        <v>72</v>
      </c>
      <c r="AM14" t="s">
        <v>72</v>
      </c>
      <c r="AO14" t="s">
        <v>47</v>
      </c>
    </row>
    <row r="15" spans="1:41" x14ac:dyDescent="0.35">
      <c r="A15" s="2" t="s">
        <v>41</v>
      </c>
      <c r="B15" s="2" t="s">
        <v>42</v>
      </c>
      <c r="C15" s="13">
        <v>45077</v>
      </c>
      <c r="D15" s="2" t="s">
        <v>45</v>
      </c>
      <c r="E15" s="2" t="s">
        <v>12</v>
      </c>
      <c r="F15" s="6">
        <v>2</v>
      </c>
      <c r="G15" s="6">
        <v>3</v>
      </c>
      <c r="H15" s="2" t="s">
        <v>77</v>
      </c>
      <c r="I15" s="2" t="s">
        <v>73</v>
      </c>
      <c r="J15" t="s">
        <v>74</v>
      </c>
      <c r="K15" t="s">
        <v>75</v>
      </c>
      <c r="L15" t="s">
        <v>90</v>
      </c>
      <c r="M15" t="s">
        <v>72</v>
      </c>
      <c r="N15" t="s">
        <v>77</v>
      </c>
      <c r="O15" t="s">
        <v>77</v>
      </c>
      <c r="P15" t="s">
        <v>107</v>
      </c>
      <c r="Q15" t="s">
        <v>79</v>
      </c>
      <c r="R15" t="s">
        <v>80</v>
      </c>
      <c r="S15" s="12">
        <v>1</v>
      </c>
      <c r="T15" s="12">
        <v>0</v>
      </c>
      <c r="U15" t="s">
        <v>72</v>
      </c>
      <c r="W15" t="s">
        <v>108</v>
      </c>
      <c r="X15" t="s">
        <v>82</v>
      </c>
      <c r="Y15" s="12">
        <v>1</v>
      </c>
      <c r="Z15" s="12">
        <v>1</v>
      </c>
      <c r="AA15" s="12">
        <v>1</v>
      </c>
      <c r="AB15" s="12">
        <v>1</v>
      </c>
      <c r="AC15" t="s">
        <v>77</v>
      </c>
      <c r="AD15" t="s">
        <v>83</v>
      </c>
      <c r="AE15" s="12">
        <v>1</v>
      </c>
      <c r="AF15" s="12">
        <v>0</v>
      </c>
      <c r="AG15" t="s">
        <v>84</v>
      </c>
      <c r="AH15" t="s">
        <v>85</v>
      </c>
      <c r="AJ15" t="s">
        <v>77</v>
      </c>
      <c r="AK15">
        <v>5.5</v>
      </c>
      <c r="AL15" t="s">
        <v>72</v>
      </c>
      <c r="AM15" t="s">
        <v>72</v>
      </c>
      <c r="AO15" t="s">
        <v>48</v>
      </c>
    </row>
    <row r="16" spans="1:41" x14ac:dyDescent="0.35">
      <c r="A16" s="2" t="s">
        <v>43</v>
      </c>
      <c r="B16" s="2" t="s">
        <v>44</v>
      </c>
      <c r="C16" s="13">
        <v>45077</v>
      </c>
      <c r="D16" s="2" t="s">
        <v>45</v>
      </c>
      <c r="E16" s="2" t="s">
        <v>166</v>
      </c>
      <c r="F16" s="6">
        <v>10</v>
      </c>
      <c r="G16" s="6">
        <v>0.5</v>
      </c>
      <c r="H16" s="2"/>
      <c r="I16" s="2"/>
      <c r="J16" t="s">
        <v>74</v>
      </c>
      <c r="K16" t="s">
        <v>75</v>
      </c>
      <c r="L16" t="s">
        <v>90</v>
      </c>
      <c r="M16" t="s">
        <v>72</v>
      </c>
      <c r="O16" t="s">
        <v>77</v>
      </c>
      <c r="P16" t="s">
        <v>93</v>
      </c>
      <c r="Q16" t="s">
        <v>79</v>
      </c>
      <c r="R16" t="s">
        <v>94</v>
      </c>
      <c r="S16" s="12">
        <v>1</v>
      </c>
      <c r="T16" s="12">
        <v>1</v>
      </c>
      <c r="U16" t="s">
        <v>72</v>
      </c>
      <c r="X16" t="s">
        <v>100</v>
      </c>
      <c r="Y16" s="12">
        <v>1</v>
      </c>
      <c r="Z16" s="12">
        <v>0</v>
      </c>
      <c r="AA16" s="12">
        <v>0</v>
      </c>
      <c r="AB16" s="12">
        <v>0</v>
      </c>
      <c r="AC16" t="s">
        <v>77</v>
      </c>
      <c r="AD16" t="s">
        <v>83</v>
      </c>
      <c r="AE16" s="12">
        <v>1</v>
      </c>
      <c r="AF16" s="12">
        <v>0</v>
      </c>
      <c r="AG16" t="s">
        <v>84</v>
      </c>
      <c r="AH16" t="s">
        <v>85</v>
      </c>
      <c r="AJ16" t="s">
        <v>77</v>
      </c>
      <c r="AL16" t="s">
        <v>72</v>
      </c>
      <c r="AM16" t="s">
        <v>72</v>
      </c>
      <c r="AO16" t="s">
        <v>49</v>
      </c>
    </row>
    <row r="17" spans="1:41" x14ac:dyDescent="0.35">
      <c r="A17" s="2" t="s">
        <v>50</v>
      </c>
      <c r="B17" s="2" t="s">
        <v>51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72</v>
      </c>
      <c r="I17" s="2" t="s">
        <v>73</v>
      </c>
      <c r="J17" t="s">
        <v>74</v>
      </c>
      <c r="K17" t="s">
        <v>75</v>
      </c>
      <c r="L17" t="s">
        <v>110</v>
      </c>
      <c r="M17" t="s">
        <v>72</v>
      </c>
      <c r="N17" t="s">
        <v>77</v>
      </c>
      <c r="O17" t="s">
        <v>77</v>
      </c>
      <c r="P17" t="s">
        <v>91</v>
      </c>
      <c r="Q17" t="s">
        <v>79</v>
      </c>
      <c r="R17" t="s">
        <v>80</v>
      </c>
      <c r="S17" s="12">
        <v>1</v>
      </c>
      <c r="T17" s="12">
        <v>0</v>
      </c>
      <c r="U17" t="s">
        <v>72</v>
      </c>
      <c r="X17" t="s">
        <v>82</v>
      </c>
      <c r="Y17" s="12">
        <v>1</v>
      </c>
      <c r="Z17" s="12">
        <v>1</v>
      </c>
      <c r="AA17" s="12">
        <v>1</v>
      </c>
      <c r="AB17" s="12">
        <v>1</v>
      </c>
      <c r="AC17" t="s">
        <v>77</v>
      </c>
      <c r="AD17" t="s">
        <v>83</v>
      </c>
      <c r="AE17" s="12">
        <v>1</v>
      </c>
      <c r="AF17" s="12">
        <v>0</v>
      </c>
      <c r="AG17" t="s">
        <v>84</v>
      </c>
      <c r="AH17" t="s">
        <v>85</v>
      </c>
      <c r="AJ17" t="s">
        <v>77</v>
      </c>
      <c r="AK17">
        <v>4</v>
      </c>
      <c r="AL17" t="s">
        <v>72</v>
      </c>
      <c r="AM17" t="s">
        <v>72</v>
      </c>
      <c r="AO17" t="s">
        <v>60</v>
      </c>
    </row>
    <row r="18" spans="1:41" x14ac:dyDescent="0.35">
      <c r="A18" s="2" t="s">
        <v>53</v>
      </c>
      <c r="B18" s="2" t="s">
        <v>52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72</v>
      </c>
      <c r="I18" s="2" t="s">
        <v>73</v>
      </c>
      <c r="J18" t="s">
        <v>74</v>
      </c>
      <c r="K18" t="s">
        <v>75</v>
      </c>
      <c r="L18" t="s">
        <v>90</v>
      </c>
      <c r="M18" t="s">
        <v>72</v>
      </c>
      <c r="N18" t="s">
        <v>77</v>
      </c>
      <c r="O18" t="s">
        <v>77</v>
      </c>
      <c r="P18" t="s">
        <v>91</v>
      </c>
      <c r="Q18" t="s">
        <v>79</v>
      </c>
      <c r="R18" t="s">
        <v>80</v>
      </c>
      <c r="S18" s="12">
        <v>1</v>
      </c>
      <c r="T18" s="12">
        <v>0</v>
      </c>
      <c r="U18" t="s">
        <v>72</v>
      </c>
      <c r="X18" t="s">
        <v>82</v>
      </c>
      <c r="Y18" s="12">
        <v>1</v>
      </c>
      <c r="Z18" s="12">
        <v>1</v>
      </c>
      <c r="AA18" s="12">
        <v>1</v>
      </c>
      <c r="AB18" s="12">
        <v>1</v>
      </c>
      <c r="AC18" t="s">
        <v>77</v>
      </c>
      <c r="AD18" t="s">
        <v>83</v>
      </c>
      <c r="AE18" s="12">
        <v>1</v>
      </c>
      <c r="AF18" s="12">
        <v>0</v>
      </c>
      <c r="AG18" t="s">
        <v>84</v>
      </c>
      <c r="AH18" t="s">
        <v>85</v>
      </c>
      <c r="AJ18" t="s">
        <v>77</v>
      </c>
      <c r="AK18">
        <v>5</v>
      </c>
      <c r="AL18" t="s">
        <v>72</v>
      </c>
      <c r="AM18" t="s">
        <v>72</v>
      </c>
      <c r="AO18" t="s">
        <v>61</v>
      </c>
    </row>
    <row r="19" spans="1:41" x14ac:dyDescent="0.35">
      <c r="A19" s="2" t="s">
        <v>54</v>
      </c>
      <c r="B19" s="2" t="s">
        <v>57</v>
      </c>
      <c r="C19" s="13">
        <v>45085</v>
      </c>
      <c r="D19" s="2" t="s">
        <v>45</v>
      </c>
      <c r="E19" s="2" t="s">
        <v>12</v>
      </c>
      <c r="F19" s="6">
        <v>2</v>
      </c>
      <c r="G19" s="6">
        <v>2</v>
      </c>
      <c r="H19" s="2" t="s">
        <v>72</v>
      </c>
      <c r="I19" s="2" t="s">
        <v>73</v>
      </c>
      <c r="J19" t="s">
        <v>74</v>
      </c>
      <c r="K19" t="s">
        <v>75</v>
      </c>
      <c r="L19" t="s">
        <v>90</v>
      </c>
      <c r="M19" t="s">
        <v>72</v>
      </c>
      <c r="N19" t="s">
        <v>77</v>
      </c>
      <c r="O19" t="s">
        <v>77</v>
      </c>
      <c r="P19" t="s">
        <v>93</v>
      </c>
      <c r="Q19" t="s">
        <v>79</v>
      </c>
      <c r="R19" t="s">
        <v>80</v>
      </c>
      <c r="S19" s="12">
        <v>1</v>
      </c>
      <c r="T19" s="12">
        <v>0</v>
      </c>
      <c r="U19" t="s">
        <v>103</v>
      </c>
      <c r="W19" t="s">
        <v>111</v>
      </c>
      <c r="X19" t="s">
        <v>82</v>
      </c>
      <c r="Y19" s="12">
        <v>1</v>
      </c>
      <c r="Z19" s="12">
        <v>1</v>
      </c>
      <c r="AA19" s="12">
        <v>1</v>
      </c>
      <c r="AB19" s="12">
        <v>1</v>
      </c>
      <c r="AC19" t="s">
        <v>77</v>
      </c>
      <c r="AD19" t="s">
        <v>83</v>
      </c>
      <c r="AE19" s="12">
        <v>1</v>
      </c>
      <c r="AF19" s="12">
        <v>0</v>
      </c>
      <c r="AG19" t="s">
        <v>84</v>
      </c>
      <c r="AH19" t="s">
        <v>85</v>
      </c>
      <c r="AJ19" t="s">
        <v>77</v>
      </c>
      <c r="AK19">
        <v>2.5</v>
      </c>
      <c r="AL19" t="s">
        <v>72</v>
      </c>
      <c r="AM19" t="s">
        <v>72</v>
      </c>
      <c r="AO19" t="s">
        <v>62</v>
      </c>
    </row>
    <row r="20" spans="1:41" x14ac:dyDescent="0.35">
      <c r="A20" s="2" t="s">
        <v>55</v>
      </c>
      <c r="B20" s="2" t="s">
        <v>58</v>
      </c>
      <c r="C20" s="13">
        <v>45085</v>
      </c>
      <c r="D20" s="2" t="s">
        <v>45</v>
      </c>
      <c r="E20" s="2" t="s">
        <v>12</v>
      </c>
      <c r="F20" s="6">
        <v>3</v>
      </c>
      <c r="G20" s="6">
        <v>3</v>
      </c>
      <c r="H20" s="2" t="s">
        <v>77</v>
      </c>
      <c r="I20" s="2" t="s">
        <v>112</v>
      </c>
      <c r="J20" t="s">
        <v>74</v>
      </c>
      <c r="K20" t="s">
        <v>75</v>
      </c>
      <c r="L20" t="s">
        <v>90</v>
      </c>
      <c r="M20" t="s">
        <v>72</v>
      </c>
      <c r="N20" t="s">
        <v>77</v>
      </c>
      <c r="O20" t="s">
        <v>77</v>
      </c>
      <c r="P20" t="s">
        <v>93</v>
      </c>
      <c r="Q20" t="s">
        <v>79</v>
      </c>
      <c r="R20" t="s">
        <v>113</v>
      </c>
      <c r="S20" s="12">
        <v>0</v>
      </c>
      <c r="T20" s="12">
        <v>1</v>
      </c>
      <c r="U20" t="s">
        <v>72</v>
      </c>
      <c r="X20" t="s">
        <v>82</v>
      </c>
      <c r="Y20" s="12">
        <v>1</v>
      </c>
      <c r="Z20" s="12">
        <v>1</v>
      </c>
      <c r="AA20" s="12">
        <v>1</v>
      </c>
      <c r="AB20" s="12">
        <v>1</v>
      </c>
      <c r="AC20" t="s">
        <v>77</v>
      </c>
      <c r="AD20" t="s">
        <v>83</v>
      </c>
      <c r="AE20" s="12">
        <v>1</v>
      </c>
      <c r="AF20" s="12">
        <v>0</v>
      </c>
      <c r="AG20" t="s">
        <v>84</v>
      </c>
      <c r="AH20" t="s">
        <v>85</v>
      </c>
      <c r="AI20">
        <v>2.4</v>
      </c>
      <c r="AJ20" t="s">
        <v>77</v>
      </c>
      <c r="AK20">
        <v>9.5</v>
      </c>
      <c r="AL20" t="s">
        <v>72</v>
      </c>
      <c r="AM20" t="s">
        <v>72</v>
      </c>
      <c r="AO20" t="s">
        <v>63</v>
      </c>
    </row>
    <row r="21" spans="1:41" x14ac:dyDescent="0.35">
      <c r="A21" s="2" t="s">
        <v>56</v>
      </c>
      <c r="B21" s="2" t="s">
        <v>59</v>
      </c>
      <c r="C21" s="13">
        <v>45085</v>
      </c>
      <c r="D21" s="2" t="s">
        <v>45</v>
      </c>
      <c r="E21" s="2" t="s">
        <v>12</v>
      </c>
      <c r="F21" s="6">
        <v>2</v>
      </c>
      <c r="G21" s="6">
        <v>3</v>
      </c>
      <c r="H21" s="2" t="s">
        <v>72</v>
      </c>
      <c r="I21" s="2" t="s">
        <v>73</v>
      </c>
      <c r="J21" t="s">
        <v>74</v>
      </c>
      <c r="K21" t="s">
        <v>75</v>
      </c>
      <c r="L21" t="s">
        <v>90</v>
      </c>
      <c r="M21" t="s">
        <v>72</v>
      </c>
      <c r="N21" t="s">
        <v>77</v>
      </c>
      <c r="O21" t="s">
        <v>77</v>
      </c>
      <c r="P21" t="s">
        <v>93</v>
      </c>
      <c r="Q21" t="s">
        <v>79</v>
      </c>
      <c r="R21" t="s">
        <v>80</v>
      </c>
      <c r="S21" s="12">
        <v>1</v>
      </c>
      <c r="T21" s="12">
        <v>0</v>
      </c>
      <c r="U21" t="s">
        <v>72</v>
      </c>
      <c r="X21" t="s">
        <v>82</v>
      </c>
      <c r="Y21" s="12">
        <v>1</v>
      </c>
      <c r="Z21" s="12">
        <v>1</v>
      </c>
      <c r="AA21" s="12">
        <v>1</v>
      </c>
      <c r="AB21" s="12">
        <v>1</v>
      </c>
      <c r="AC21" t="s">
        <v>77</v>
      </c>
      <c r="AD21" t="s">
        <v>83</v>
      </c>
      <c r="AE21" s="12">
        <v>1</v>
      </c>
      <c r="AF21" s="12">
        <v>0</v>
      </c>
      <c r="AG21" t="s">
        <v>84</v>
      </c>
      <c r="AH21" t="s">
        <v>85</v>
      </c>
      <c r="AI21">
        <v>2.4</v>
      </c>
      <c r="AJ21" t="s">
        <v>77</v>
      </c>
      <c r="AK21">
        <v>5</v>
      </c>
      <c r="AL21" t="s">
        <v>72</v>
      </c>
      <c r="AM21" t="s">
        <v>72</v>
      </c>
      <c r="AO21" t="s">
        <v>48</v>
      </c>
    </row>
    <row r="22" spans="1:41" x14ac:dyDescent="0.35">
      <c r="A22" s="2" t="s">
        <v>64</v>
      </c>
      <c r="B22" s="2" t="s">
        <v>66</v>
      </c>
      <c r="C22" s="13">
        <v>45098</v>
      </c>
      <c r="D22" s="2" t="s">
        <v>45</v>
      </c>
      <c r="E22" s="2" t="s">
        <v>165</v>
      </c>
      <c r="F22" s="6">
        <v>200</v>
      </c>
      <c r="G22" s="6">
        <v>0.25</v>
      </c>
      <c r="H22" s="2"/>
      <c r="I22" s="2"/>
      <c r="J22" t="s">
        <v>74</v>
      </c>
      <c r="K22" t="s">
        <v>75</v>
      </c>
      <c r="L22" t="s">
        <v>90</v>
      </c>
      <c r="M22" t="s">
        <v>72</v>
      </c>
      <c r="N22" t="s">
        <v>77</v>
      </c>
      <c r="O22" t="s">
        <v>77</v>
      </c>
      <c r="P22" t="s">
        <v>91</v>
      </c>
      <c r="Q22" t="s">
        <v>79</v>
      </c>
      <c r="R22" t="s">
        <v>80</v>
      </c>
      <c r="S22" s="12">
        <v>1</v>
      </c>
      <c r="T22" s="12">
        <v>0</v>
      </c>
      <c r="U22" t="s">
        <v>72</v>
      </c>
      <c r="X22" t="s">
        <v>109</v>
      </c>
      <c r="Y22" s="12">
        <v>1</v>
      </c>
      <c r="Z22" s="12">
        <v>0</v>
      </c>
      <c r="AA22" s="12">
        <v>0</v>
      </c>
      <c r="AB22" s="12">
        <v>1</v>
      </c>
      <c r="AC22" t="s">
        <v>77</v>
      </c>
      <c r="AD22" t="s">
        <v>83</v>
      </c>
      <c r="AE22" s="12">
        <v>1</v>
      </c>
      <c r="AF22" s="12">
        <v>0</v>
      </c>
      <c r="AG22" t="s">
        <v>84</v>
      </c>
      <c r="AH22" t="s">
        <v>85</v>
      </c>
      <c r="AI22">
        <v>5</v>
      </c>
      <c r="AJ22" t="s">
        <v>72</v>
      </c>
      <c r="AK22">
        <v>5.5</v>
      </c>
      <c r="AL22" t="s">
        <v>72</v>
      </c>
      <c r="AM22" t="s">
        <v>72</v>
      </c>
      <c r="AO22" t="s">
        <v>69</v>
      </c>
    </row>
    <row r="23" spans="1:41" x14ac:dyDescent="0.35">
      <c r="A23" s="2" t="s">
        <v>65</v>
      </c>
      <c r="B23" s="2" t="s">
        <v>67</v>
      </c>
      <c r="C23" s="13">
        <v>45098</v>
      </c>
      <c r="D23" s="2" t="s">
        <v>68</v>
      </c>
      <c r="E23" s="2" t="s">
        <v>12</v>
      </c>
      <c r="F23" s="6">
        <v>3</v>
      </c>
      <c r="G23" s="6">
        <v>0.25</v>
      </c>
      <c r="H23" s="2" t="s">
        <v>72</v>
      </c>
      <c r="I23" s="2" t="s">
        <v>73</v>
      </c>
      <c r="J23" t="s">
        <v>74</v>
      </c>
      <c r="K23" t="s">
        <v>75</v>
      </c>
      <c r="L23" t="s">
        <v>90</v>
      </c>
      <c r="M23" t="s">
        <v>72</v>
      </c>
      <c r="N23" t="s">
        <v>77</v>
      </c>
      <c r="O23" t="s">
        <v>77</v>
      </c>
      <c r="P23" t="s">
        <v>93</v>
      </c>
      <c r="Q23" t="s">
        <v>79</v>
      </c>
      <c r="R23" t="s">
        <v>80</v>
      </c>
      <c r="S23" s="12">
        <v>1</v>
      </c>
      <c r="T23" s="12">
        <v>0</v>
      </c>
      <c r="U23" t="s">
        <v>72</v>
      </c>
      <c r="X23" t="s">
        <v>114</v>
      </c>
      <c r="Y23" s="12">
        <v>1</v>
      </c>
      <c r="Z23" s="12">
        <v>0</v>
      </c>
      <c r="AA23" s="12">
        <v>1</v>
      </c>
      <c r="AB23" s="12">
        <v>1</v>
      </c>
      <c r="AC23" t="s">
        <v>77</v>
      </c>
      <c r="AD23" t="s">
        <v>83</v>
      </c>
      <c r="AE23" s="12">
        <v>1</v>
      </c>
      <c r="AF23" s="12">
        <v>0</v>
      </c>
      <c r="AG23" t="s">
        <v>84</v>
      </c>
      <c r="AH23" t="s">
        <v>85</v>
      </c>
      <c r="AJ23" t="s">
        <v>77</v>
      </c>
      <c r="AL23" t="s">
        <v>72</v>
      </c>
      <c r="AM23" t="s">
        <v>72</v>
      </c>
      <c r="AO23" t="s">
        <v>70</v>
      </c>
    </row>
    <row r="24" spans="1:41" x14ac:dyDescent="0.35">
      <c r="A24" s="2" t="s">
        <v>230</v>
      </c>
      <c r="B24" s="2" t="s">
        <v>249</v>
      </c>
      <c r="C24" s="13">
        <v>45306</v>
      </c>
      <c r="D24" s="2" t="s">
        <v>268</v>
      </c>
      <c r="E24" s="2" t="s">
        <v>165</v>
      </c>
      <c r="F24" s="6">
        <v>23</v>
      </c>
      <c r="G24" s="6">
        <v>2</v>
      </c>
      <c r="H24" s="2" t="s">
        <v>72</v>
      </c>
      <c r="I24" s="2"/>
      <c r="J24" t="s">
        <v>74</v>
      </c>
      <c r="K24" t="s">
        <v>75</v>
      </c>
      <c r="L24" t="s">
        <v>90</v>
      </c>
      <c r="M24" t="s">
        <v>72</v>
      </c>
      <c r="N24" t="s">
        <v>72</v>
      </c>
      <c r="O24" t="s">
        <v>77</v>
      </c>
      <c r="P24" t="s">
        <v>277</v>
      </c>
      <c r="Q24" t="s">
        <v>79</v>
      </c>
      <c r="R24" t="s">
        <v>94</v>
      </c>
      <c r="S24" s="12">
        <v>1</v>
      </c>
      <c r="T24" s="12">
        <v>1</v>
      </c>
      <c r="U24" t="s">
        <v>72</v>
      </c>
      <c r="W24" t="s">
        <v>280</v>
      </c>
      <c r="X24" t="s">
        <v>282</v>
      </c>
      <c r="Y24" s="12">
        <v>1</v>
      </c>
      <c r="Z24" s="12">
        <v>1</v>
      </c>
      <c r="AA24" s="12">
        <v>1</v>
      </c>
      <c r="AB24" s="12">
        <v>0</v>
      </c>
      <c r="AC24" s="12" t="s">
        <v>77</v>
      </c>
      <c r="AD24" t="s">
        <v>286</v>
      </c>
      <c r="AE24" s="12">
        <v>1</v>
      </c>
      <c r="AF24" s="12">
        <v>1</v>
      </c>
      <c r="AG24" t="s">
        <v>84</v>
      </c>
      <c r="AH24" t="s">
        <v>97</v>
      </c>
      <c r="AL24" t="s">
        <v>72</v>
      </c>
      <c r="AM24" t="s">
        <v>77</v>
      </c>
      <c r="AN24" t="s">
        <v>290</v>
      </c>
      <c r="AO24" t="s">
        <v>303</v>
      </c>
    </row>
    <row r="25" spans="1:41" x14ac:dyDescent="0.35">
      <c r="A25" s="2" t="s">
        <v>231</v>
      </c>
      <c r="B25" s="2" t="s">
        <v>250</v>
      </c>
      <c r="C25" s="13">
        <v>45307</v>
      </c>
      <c r="D25" s="2" t="s">
        <v>268</v>
      </c>
      <c r="E25" s="2" t="s">
        <v>12</v>
      </c>
      <c r="F25" s="6">
        <v>4</v>
      </c>
      <c r="G25" s="6">
        <v>3</v>
      </c>
      <c r="H25" s="2" t="s">
        <v>77</v>
      </c>
      <c r="I25" s="2" t="s">
        <v>112</v>
      </c>
      <c r="J25" t="s">
        <v>74</v>
      </c>
      <c r="K25" t="s">
        <v>75</v>
      </c>
      <c r="L25" t="s">
        <v>90</v>
      </c>
      <c r="M25" t="s">
        <v>72</v>
      </c>
      <c r="N25" t="s">
        <v>72</v>
      </c>
      <c r="O25" t="s">
        <v>77</v>
      </c>
      <c r="P25" t="s">
        <v>277</v>
      </c>
      <c r="Q25" t="s">
        <v>79</v>
      </c>
      <c r="R25" t="s">
        <v>94</v>
      </c>
      <c r="S25" s="12">
        <v>1</v>
      </c>
      <c r="T25" s="12">
        <v>1</v>
      </c>
      <c r="U25" t="s">
        <v>72</v>
      </c>
      <c r="W25" t="s">
        <v>280</v>
      </c>
      <c r="X25" t="s">
        <v>283</v>
      </c>
      <c r="Y25" s="12">
        <v>1</v>
      </c>
      <c r="Z25" s="12">
        <v>1</v>
      </c>
      <c r="AA25" s="12">
        <v>1</v>
      </c>
      <c r="AB25" s="12">
        <v>1</v>
      </c>
      <c r="AC25" s="12" t="s">
        <v>77</v>
      </c>
      <c r="AD25" t="s">
        <v>286</v>
      </c>
      <c r="AE25" s="12">
        <v>1</v>
      </c>
      <c r="AF25" s="12">
        <v>1</v>
      </c>
      <c r="AG25" t="s">
        <v>84</v>
      </c>
      <c r="AH25" t="s">
        <v>97</v>
      </c>
      <c r="AJ25" t="s">
        <v>72</v>
      </c>
      <c r="AK25">
        <v>2</v>
      </c>
      <c r="AL25" t="s">
        <v>72</v>
      </c>
      <c r="AM25" t="s">
        <v>77</v>
      </c>
      <c r="AN25" t="s">
        <v>291</v>
      </c>
      <c r="AO25" t="s">
        <v>304</v>
      </c>
    </row>
    <row r="26" spans="1:41" x14ac:dyDescent="0.35">
      <c r="A26" s="2" t="s">
        <v>232</v>
      </c>
      <c r="B26" s="2" t="s">
        <v>251</v>
      </c>
      <c r="C26" s="13">
        <v>45307</v>
      </c>
      <c r="D26" s="2" t="s">
        <v>268</v>
      </c>
      <c r="E26" s="2" t="s">
        <v>12</v>
      </c>
      <c r="F26" s="6">
        <v>5</v>
      </c>
      <c r="G26" s="6">
        <v>3</v>
      </c>
      <c r="H26" s="2" t="s">
        <v>77</v>
      </c>
      <c r="I26" s="2" t="s">
        <v>112</v>
      </c>
      <c r="J26" t="s">
        <v>74</v>
      </c>
      <c r="K26" t="s">
        <v>75</v>
      </c>
      <c r="L26" t="s">
        <v>90</v>
      </c>
      <c r="M26" t="s">
        <v>72</v>
      </c>
      <c r="N26" t="s">
        <v>72</v>
      </c>
      <c r="O26" t="s">
        <v>77</v>
      </c>
      <c r="P26" t="s">
        <v>277</v>
      </c>
      <c r="Q26" t="s">
        <v>79</v>
      </c>
      <c r="R26" t="s">
        <v>94</v>
      </c>
      <c r="S26" s="12">
        <v>1</v>
      </c>
      <c r="T26" s="12">
        <v>1</v>
      </c>
      <c r="U26" t="s">
        <v>72</v>
      </c>
      <c r="W26" t="s">
        <v>280</v>
      </c>
      <c r="X26" t="s">
        <v>114</v>
      </c>
      <c r="Y26" s="12">
        <v>1</v>
      </c>
      <c r="Z26" s="12">
        <v>0</v>
      </c>
      <c r="AA26" s="12">
        <v>1</v>
      </c>
      <c r="AB26" s="12">
        <v>1</v>
      </c>
      <c r="AC26" s="12" t="s">
        <v>77</v>
      </c>
      <c r="AD26" t="s">
        <v>286</v>
      </c>
      <c r="AE26" s="12">
        <v>1</v>
      </c>
      <c r="AF26" s="12">
        <v>1</v>
      </c>
      <c r="AG26" t="s">
        <v>84</v>
      </c>
      <c r="AH26" t="s">
        <v>97</v>
      </c>
      <c r="AJ26" t="s">
        <v>72</v>
      </c>
      <c r="AK26">
        <v>2</v>
      </c>
      <c r="AL26" t="s">
        <v>72</v>
      </c>
      <c r="AM26" t="s">
        <v>77</v>
      </c>
      <c r="AN26" t="s">
        <v>291</v>
      </c>
      <c r="AO26" t="s">
        <v>305</v>
      </c>
    </row>
    <row r="27" spans="1:41" x14ac:dyDescent="0.35">
      <c r="A27" s="2" t="s">
        <v>233</v>
      </c>
      <c r="B27" s="2" t="s">
        <v>252</v>
      </c>
      <c r="C27" s="13">
        <v>45307</v>
      </c>
      <c r="D27" s="2" t="s">
        <v>268</v>
      </c>
      <c r="E27" s="2" t="s">
        <v>12</v>
      </c>
      <c r="F27" s="6">
        <v>4</v>
      </c>
      <c r="G27" s="6">
        <v>3</v>
      </c>
      <c r="H27" s="2" t="s">
        <v>77</v>
      </c>
      <c r="I27" s="2" t="s">
        <v>112</v>
      </c>
      <c r="J27" t="s">
        <v>74</v>
      </c>
      <c r="K27" t="s">
        <v>75</v>
      </c>
      <c r="L27" t="s">
        <v>90</v>
      </c>
      <c r="M27" t="s">
        <v>72</v>
      </c>
      <c r="N27" t="s">
        <v>72</v>
      </c>
      <c r="O27" t="s">
        <v>77</v>
      </c>
      <c r="P27" t="s">
        <v>277</v>
      </c>
      <c r="Q27" t="s">
        <v>79</v>
      </c>
      <c r="R27" t="s">
        <v>94</v>
      </c>
      <c r="S27" s="12">
        <v>1</v>
      </c>
      <c r="T27" s="12">
        <v>1</v>
      </c>
      <c r="U27" t="s">
        <v>72</v>
      </c>
      <c r="W27" t="s">
        <v>280</v>
      </c>
      <c r="X27" t="s">
        <v>114</v>
      </c>
      <c r="Y27" s="12">
        <v>1</v>
      </c>
      <c r="Z27" s="12">
        <v>0</v>
      </c>
      <c r="AA27" s="12">
        <v>1</v>
      </c>
      <c r="AB27" s="12">
        <v>1</v>
      </c>
      <c r="AC27" s="12" t="s">
        <v>77</v>
      </c>
      <c r="AD27" t="s">
        <v>286</v>
      </c>
      <c r="AE27" s="12">
        <v>1</v>
      </c>
      <c r="AF27" s="12">
        <v>1</v>
      </c>
      <c r="AG27" t="s">
        <v>84</v>
      </c>
      <c r="AH27" t="s">
        <v>97</v>
      </c>
      <c r="AJ27" t="s">
        <v>72</v>
      </c>
      <c r="AK27">
        <v>2</v>
      </c>
      <c r="AL27" t="s">
        <v>72</v>
      </c>
      <c r="AM27" t="s">
        <v>77</v>
      </c>
      <c r="AN27" t="s">
        <v>291</v>
      </c>
      <c r="AO27" t="s">
        <v>306</v>
      </c>
    </row>
    <row r="28" spans="1:41" x14ac:dyDescent="0.35">
      <c r="A28" s="2" t="s">
        <v>234</v>
      </c>
      <c r="B28" s="2" t="s">
        <v>253</v>
      </c>
      <c r="C28" s="13">
        <v>45307</v>
      </c>
      <c r="D28" s="2" t="s">
        <v>268</v>
      </c>
      <c r="E28" s="2" t="s">
        <v>12</v>
      </c>
      <c r="F28" s="6">
        <v>15</v>
      </c>
      <c r="G28" s="6">
        <v>3</v>
      </c>
      <c r="H28" s="2" t="s">
        <v>77</v>
      </c>
      <c r="I28" s="2" t="s">
        <v>112</v>
      </c>
      <c r="J28" t="s">
        <v>74</v>
      </c>
      <c r="K28" t="s">
        <v>75</v>
      </c>
      <c r="L28" t="s">
        <v>90</v>
      </c>
      <c r="M28" t="s">
        <v>72</v>
      </c>
      <c r="N28" t="s">
        <v>72</v>
      </c>
      <c r="O28" t="s">
        <v>77</v>
      </c>
      <c r="P28" t="s">
        <v>277</v>
      </c>
      <c r="Q28" t="s">
        <v>79</v>
      </c>
      <c r="R28" t="s">
        <v>94</v>
      </c>
      <c r="S28" s="12">
        <v>1</v>
      </c>
      <c r="T28" s="12">
        <v>1</v>
      </c>
      <c r="U28" t="s">
        <v>72</v>
      </c>
      <c r="W28" t="s">
        <v>280</v>
      </c>
      <c r="X28" t="s">
        <v>114</v>
      </c>
      <c r="Y28" s="12">
        <v>1</v>
      </c>
      <c r="Z28" s="12">
        <v>0</v>
      </c>
      <c r="AA28" s="12">
        <v>1</v>
      </c>
      <c r="AB28" s="12">
        <v>1</v>
      </c>
      <c r="AC28" s="12" t="s">
        <v>77</v>
      </c>
      <c r="AD28" t="s">
        <v>286</v>
      </c>
      <c r="AE28" s="12">
        <v>1</v>
      </c>
      <c r="AF28" s="12">
        <v>1</v>
      </c>
      <c r="AG28" t="s">
        <v>84</v>
      </c>
      <c r="AH28" t="s">
        <v>97</v>
      </c>
      <c r="AJ28" t="s">
        <v>72</v>
      </c>
      <c r="AK28">
        <v>2</v>
      </c>
      <c r="AL28" t="s">
        <v>72</v>
      </c>
      <c r="AM28" t="s">
        <v>77</v>
      </c>
      <c r="AN28" t="s">
        <v>292</v>
      </c>
      <c r="AO28" t="s">
        <v>307</v>
      </c>
    </row>
    <row r="29" spans="1:41" x14ac:dyDescent="0.35">
      <c r="A29" s="2" t="s">
        <v>235</v>
      </c>
      <c r="B29" s="2" t="s">
        <v>254</v>
      </c>
      <c r="C29" s="13">
        <v>45313</v>
      </c>
      <c r="D29" s="2" t="s">
        <v>269</v>
      </c>
      <c r="E29" s="2" t="s">
        <v>12</v>
      </c>
      <c r="F29" s="6">
        <v>9</v>
      </c>
      <c r="G29" s="6">
        <v>1</v>
      </c>
      <c r="H29" s="2" t="s">
        <v>77</v>
      </c>
      <c r="I29" s="2" t="s">
        <v>112</v>
      </c>
      <c r="J29" t="s">
        <v>74</v>
      </c>
      <c r="K29" t="s">
        <v>75</v>
      </c>
      <c r="L29" t="s">
        <v>90</v>
      </c>
      <c r="M29" t="s">
        <v>77</v>
      </c>
      <c r="N29" t="s">
        <v>72</v>
      </c>
      <c r="O29" t="s">
        <v>77</v>
      </c>
      <c r="P29" t="s">
        <v>277</v>
      </c>
      <c r="Q29" t="s">
        <v>79</v>
      </c>
      <c r="R29" t="s">
        <v>94</v>
      </c>
      <c r="S29" s="12">
        <v>1</v>
      </c>
      <c r="T29" s="12">
        <v>1</v>
      </c>
      <c r="U29" t="s">
        <v>72</v>
      </c>
      <c r="W29" t="s">
        <v>280</v>
      </c>
      <c r="X29" t="s">
        <v>284</v>
      </c>
      <c r="Y29" s="12">
        <v>1</v>
      </c>
      <c r="Z29" s="12">
        <v>1</v>
      </c>
      <c r="AA29" s="12">
        <v>0</v>
      </c>
      <c r="AB29" s="12">
        <v>1</v>
      </c>
      <c r="AC29" s="12" t="s">
        <v>77</v>
      </c>
      <c r="AD29" t="s">
        <v>286</v>
      </c>
      <c r="AE29" s="12">
        <v>1</v>
      </c>
      <c r="AF29" s="12">
        <v>1</v>
      </c>
      <c r="AG29" t="s">
        <v>84</v>
      </c>
      <c r="AH29" t="s">
        <v>97</v>
      </c>
      <c r="AJ29" t="s">
        <v>77</v>
      </c>
      <c r="AK29">
        <v>1</v>
      </c>
      <c r="AL29" t="s">
        <v>72</v>
      </c>
      <c r="AM29" t="s">
        <v>72</v>
      </c>
      <c r="AO29" t="s">
        <v>308</v>
      </c>
    </row>
    <row r="30" spans="1:41" x14ac:dyDescent="0.35">
      <c r="A30" s="2" t="s">
        <v>236</v>
      </c>
      <c r="B30" s="2" t="s">
        <v>255</v>
      </c>
      <c r="C30" s="13">
        <v>45314</v>
      </c>
      <c r="D30" s="2" t="s">
        <v>270</v>
      </c>
      <c r="E30" s="2" t="s">
        <v>12</v>
      </c>
      <c r="F30" s="6">
        <v>15</v>
      </c>
      <c r="G30" s="6">
        <v>10</v>
      </c>
      <c r="H30" s="2" t="s">
        <v>77</v>
      </c>
      <c r="I30" s="2" t="s">
        <v>112</v>
      </c>
      <c r="J30" t="s">
        <v>74</v>
      </c>
      <c r="K30" t="s">
        <v>75</v>
      </c>
      <c r="L30" t="s">
        <v>90</v>
      </c>
      <c r="M30" t="s">
        <v>72</v>
      </c>
      <c r="N30" t="s">
        <v>72</v>
      </c>
      <c r="O30" t="s">
        <v>77</v>
      </c>
      <c r="P30" t="s">
        <v>277</v>
      </c>
      <c r="Q30" t="s">
        <v>79</v>
      </c>
      <c r="R30" t="s">
        <v>94</v>
      </c>
      <c r="S30" s="12">
        <v>1</v>
      </c>
      <c r="T30" s="12">
        <v>1</v>
      </c>
      <c r="U30" t="s">
        <v>77</v>
      </c>
      <c r="W30" t="s">
        <v>281</v>
      </c>
      <c r="X30" t="s">
        <v>284</v>
      </c>
      <c r="Y30" s="12">
        <v>1</v>
      </c>
      <c r="Z30" s="12">
        <v>1</v>
      </c>
      <c r="AA30" s="12">
        <v>0</v>
      </c>
      <c r="AB30" s="12">
        <v>1</v>
      </c>
      <c r="AC30" s="12" t="s">
        <v>77</v>
      </c>
      <c r="AD30" t="s">
        <v>286</v>
      </c>
      <c r="AE30" s="12">
        <v>1</v>
      </c>
      <c r="AF30" s="12">
        <v>1</v>
      </c>
      <c r="AG30" t="s">
        <v>288</v>
      </c>
      <c r="AH30" t="s">
        <v>85</v>
      </c>
      <c r="AJ30" t="s">
        <v>289</v>
      </c>
      <c r="AL30" t="s">
        <v>72</v>
      </c>
      <c r="AM30" t="s">
        <v>77</v>
      </c>
      <c r="AN30" t="s">
        <v>293</v>
      </c>
      <c r="AO30" t="s">
        <v>309</v>
      </c>
    </row>
    <row r="31" spans="1:41" x14ac:dyDescent="0.35">
      <c r="A31" s="2" t="s">
        <v>237</v>
      </c>
      <c r="B31" s="2" t="s">
        <v>256</v>
      </c>
      <c r="C31" s="13">
        <v>45320</v>
      </c>
      <c r="D31" s="2" t="s">
        <v>271</v>
      </c>
      <c r="E31" s="2" t="s">
        <v>12</v>
      </c>
      <c r="F31" s="6">
        <v>14</v>
      </c>
      <c r="G31" s="6">
        <v>10</v>
      </c>
      <c r="H31" s="2" t="s">
        <v>77</v>
      </c>
      <c r="I31" s="2" t="s">
        <v>112</v>
      </c>
      <c r="J31" t="s">
        <v>74</v>
      </c>
      <c r="K31" t="s">
        <v>75</v>
      </c>
      <c r="L31" t="s">
        <v>90</v>
      </c>
      <c r="M31" t="s">
        <v>72</v>
      </c>
      <c r="N31" t="s">
        <v>72</v>
      </c>
      <c r="O31" t="s">
        <v>77</v>
      </c>
      <c r="P31" t="s">
        <v>277</v>
      </c>
      <c r="Q31" t="s">
        <v>79</v>
      </c>
      <c r="R31" t="s">
        <v>94</v>
      </c>
      <c r="S31" s="12">
        <v>1</v>
      </c>
      <c r="T31" s="12">
        <v>1</v>
      </c>
      <c r="U31" t="s">
        <v>72</v>
      </c>
      <c r="X31" t="s">
        <v>82</v>
      </c>
      <c r="Y31" s="12">
        <v>1</v>
      </c>
      <c r="Z31" s="12">
        <v>1</v>
      </c>
      <c r="AA31" s="12">
        <v>1</v>
      </c>
      <c r="AB31" s="12">
        <v>1</v>
      </c>
      <c r="AC31" s="12" t="s">
        <v>77</v>
      </c>
      <c r="AD31" t="s">
        <v>286</v>
      </c>
      <c r="AE31" s="12">
        <v>1</v>
      </c>
      <c r="AF31" s="12">
        <v>1</v>
      </c>
      <c r="AG31" t="s">
        <v>288</v>
      </c>
      <c r="AH31" t="s">
        <v>97</v>
      </c>
      <c r="AJ31" t="s">
        <v>289</v>
      </c>
      <c r="AL31" t="s">
        <v>72</v>
      </c>
      <c r="AM31" t="s">
        <v>77</v>
      </c>
      <c r="AN31" t="s">
        <v>294</v>
      </c>
      <c r="AO31" t="s">
        <v>310</v>
      </c>
    </row>
    <row r="32" spans="1:41" x14ac:dyDescent="0.35">
      <c r="A32" s="2" t="s">
        <v>238</v>
      </c>
      <c r="B32" s="2" t="s">
        <v>257</v>
      </c>
      <c r="C32" s="13">
        <v>45320</v>
      </c>
      <c r="D32" s="2" t="s">
        <v>271</v>
      </c>
      <c r="E32" s="2" t="s">
        <v>165</v>
      </c>
      <c r="F32" s="6">
        <v>35</v>
      </c>
      <c r="G32" s="6">
        <v>6</v>
      </c>
      <c r="H32" s="2" t="s">
        <v>72</v>
      </c>
      <c r="I32" s="2"/>
      <c r="J32" t="s">
        <v>74</v>
      </c>
      <c r="K32" t="s">
        <v>275</v>
      </c>
      <c r="L32" t="s">
        <v>276</v>
      </c>
      <c r="M32" t="s">
        <v>72</v>
      </c>
      <c r="N32" t="s">
        <v>72</v>
      </c>
      <c r="O32" t="s">
        <v>77</v>
      </c>
      <c r="P32" t="s">
        <v>277</v>
      </c>
      <c r="Q32" t="s">
        <v>79</v>
      </c>
      <c r="R32" t="s">
        <v>94</v>
      </c>
      <c r="S32" s="12">
        <v>1</v>
      </c>
      <c r="T32" s="12">
        <v>1</v>
      </c>
      <c r="W32" t="s">
        <v>280</v>
      </c>
      <c r="X32" t="s">
        <v>92</v>
      </c>
      <c r="Y32" s="12">
        <v>1</v>
      </c>
      <c r="Z32" s="12">
        <v>1</v>
      </c>
      <c r="AA32" s="12">
        <v>0</v>
      </c>
      <c r="AB32" s="12">
        <v>0</v>
      </c>
      <c r="AC32" s="12" t="s">
        <v>77</v>
      </c>
      <c r="AD32" t="s">
        <v>286</v>
      </c>
      <c r="AE32" s="12">
        <v>1</v>
      </c>
      <c r="AF32" s="12">
        <v>1</v>
      </c>
      <c r="AG32" t="s">
        <v>84</v>
      </c>
      <c r="AK32">
        <v>5</v>
      </c>
      <c r="AL32" t="s">
        <v>72</v>
      </c>
      <c r="AM32" t="s">
        <v>77</v>
      </c>
      <c r="AN32" t="s">
        <v>295</v>
      </c>
      <c r="AO32" t="s">
        <v>311</v>
      </c>
    </row>
    <row r="33" spans="1:41" x14ac:dyDescent="0.35">
      <c r="A33" s="2" t="s">
        <v>239</v>
      </c>
      <c r="B33" s="2" t="s">
        <v>258</v>
      </c>
      <c r="C33" s="13">
        <v>45321</v>
      </c>
      <c r="D33" s="2" t="s">
        <v>271</v>
      </c>
      <c r="E33" s="2" t="s">
        <v>12</v>
      </c>
      <c r="F33" s="6">
        <v>30</v>
      </c>
      <c r="G33" s="6">
        <v>2</v>
      </c>
      <c r="H33" s="2" t="s">
        <v>77</v>
      </c>
      <c r="I33" s="2" t="s">
        <v>112</v>
      </c>
      <c r="J33" t="s">
        <v>74</v>
      </c>
      <c r="K33" t="s">
        <v>75</v>
      </c>
      <c r="L33" t="s">
        <v>90</v>
      </c>
      <c r="M33" t="s">
        <v>72</v>
      </c>
      <c r="N33" t="s">
        <v>72</v>
      </c>
      <c r="O33" t="s">
        <v>77</v>
      </c>
      <c r="P33" t="s">
        <v>277</v>
      </c>
      <c r="Q33" t="s">
        <v>79</v>
      </c>
      <c r="R33" t="s">
        <v>94</v>
      </c>
      <c r="S33" s="12">
        <v>1</v>
      </c>
      <c r="T33" s="12">
        <v>1</v>
      </c>
      <c r="U33" t="s">
        <v>72</v>
      </c>
      <c r="W33" t="s">
        <v>280</v>
      </c>
      <c r="X33" t="s">
        <v>285</v>
      </c>
      <c r="Y33" s="12">
        <v>0</v>
      </c>
      <c r="Z33" s="12">
        <v>1</v>
      </c>
      <c r="AA33" s="12">
        <v>1</v>
      </c>
      <c r="AB33" s="12">
        <v>1</v>
      </c>
      <c r="AC33" s="12" t="s">
        <v>77</v>
      </c>
      <c r="AD33" t="s">
        <v>286</v>
      </c>
      <c r="AE33" s="12">
        <v>1</v>
      </c>
      <c r="AF33" s="12">
        <v>1</v>
      </c>
      <c r="AG33" t="s">
        <v>84</v>
      </c>
      <c r="AH33" t="s">
        <v>97</v>
      </c>
      <c r="AI33">
        <v>20</v>
      </c>
      <c r="AJ33" t="s">
        <v>72</v>
      </c>
      <c r="AK33">
        <v>2</v>
      </c>
      <c r="AL33" t="s">
        <v>72</v>
      </c>
      <c r="AM33" t="s">
        <v>72</v>
      </c>
      <c r="AO33" t="s">
        <v>312</v>
      </c>
    </row>
    <row r="34" spans="1:41" x14ac:dyDescent="0.35">
      <c r="A34" s="2" t="s">
        <v>240</v>
      </c>
      <c r="B34" s="2" t="s">
        <v>259</v>
      </c>
      <c r="C34" s="13">
        <v>45321</v>
      </c>
      <c r="D34" s="2" t="s">
        <v>271</v>
      </c>
      <c r="E34" s="2" t="s">
        <v>12</v>
      </c>
      <c r="F34" s="6">
        <v>30</v>
      </c>
      <c r="G34" s="6">
        <v>2</v>
      </c>
      <c r="H34" s="2" t="s">
        <v>77</v>
      </c>
      <c r="I34" s="2" t="s">
        <v>112</v>
      </c>
      <c r="J34" t="s">
        <v>74</v>
      </c>
      <c r="K34" t="s">
        <v>75</v>
      </c>
      <c r="L34" t="s">
        <v>90</v>
      </c>
      <c r="M34" t="s">
        <v>72</v>
      </c>
      <c r="N34" t="s">
        <v>72</v>
      </c>
      <c r="O34" t="s">
        <v>77</v>
      </c>
      <c r="P34" t="s">
        <v>277</v>
      </c>
      <c r="Q34" t="s">
        <v>79</v>
      </c>
      <c r="R34" t="s">
        <v>94</v>
      </c>
      <c r="S34" s="12">
        <v>1</v>
      </c>
      <c r="T34" s="12">
        <v>1</v>
      </c>
      <c r="U34" t="s">
        <v>72</v>
      </c>
      <c r="W34" t="s">
        <v>280</v>
      </c>
      <c r="X34" t="s">
        <v>100</v>
      </c>
      <c r="Y34" s="12">
        <v>1</v>
      </c>
      <c r="Z34" s="12">
        <v>0</v>
      </c>
      <c r="AA34" s="12">
        <v>0</v>
      </c>
      <c r="AB34" s="12">
        <v>0</v>
      </c>
      <c r="AC34" s="12" t="s">
        <v>77</v>
      </c>
      <c r="AD34" t="s">
        <v>286</v>
      </c>
      <c r="AE34" s="12">
        <v>1</v>
      </c>
      <c r="AF34" s="12">
        <v>1</v>
      </c>
      <c r="AG34" t="s">
        <v>84</v>
      </c>
      <c r="AH34" t="s">
        <v>97</v>
      </c>
      <c r="AJ34" t="s">
        <v>72</v>
      </c>
      <c r="AK34">
        <v>2</v>
      </c>
      <c r="AL34" t="s">
        <v>72</v>
      </c>
      <c r="AM34" t="s">
        <v>77</v>
      </c>
      <c r="AN34" t="s">
        <v>296</v>
      </c>
      <c r="AO34" t="s">
        <v>313</v>
      </c>
    </row>
    <row r="35" spans="1:41" x14ac:dyDescent="0.35">
      <c r="A35" s="2" t="s">
        <v>241</v>
      </c>
      <c r="B35" s="2" t="s">
        <v>260</v>
      </c>
      <c r="C35" s="13">
        <v>45321</v>
      </c>
      <c r="D35" s="2" t="s">
        <v>271</v>
      </c>
      <c r="E35" s="2" t="s">
        <v>165</v>
      </c>
      <c r="F35" s="6">
        <v>88</v>
      </c>
      <c r="G35" s="6">
        <v>0.25</v>
      </c>
      <c r="H35" s="2" t="s">
        <v>72</v>
      </c>
      <c r="I35" s="2"/>
      <c r="J35" t="s">
        <v>74</v>
      </c>
      <c r="K35" t="s">
        <v>75</v>
      </c>
      <c r="L35" t="s">
        <v>90</v>
      </c>
      <c r="M35" t="s">
        <v>72</v>
      </c>
      <c r="N35" t="s">
        <v>72</v>
      </c>
      <c r="O35" t="s">
        <v>72</v>
      </c>
      <c r="Q35" t="s">
        <v>79</v>
      </c>
      <c r="R35" t="s">
        <v>94</v>
      </c>
      <c r="S35" s="12">
        <v>1</v>
      </c>
      <c r="T35" s="12">
        <v>1</v>
      </c>
      <c r="U35" t="s">
        <v>72</v>
      </c>
      <c r="W35" t="s">
        <v>280</v>
      </c>
      <c r="X35" t="s">
        <v>284</v>
      </c>
      <c r="Y35" s="12">
        <v>1</v>
      </c>
      <c r="Z35" s="12">
        <v>1</v>
      </c>
      <c r="AA35" s="12">
        <v>0</v>
      </c>
      <c r="AB35" s="12">
        <v>1</v>
      </c>
      <c r="AC35" s="12" t="s">
        <v>77</v>
      </c>
      <c r="AD35" t="s">
        <v>286</v>
      </c>
      <c r="AE35" s="12">
        <v>1</v>
      </c>
      <c r="AF35" s="12">
        <v>1</v>
      </c>
      <c r="AG35" t="s">
        <v>84</v>
      </c>
      <c r="AH35" t="s">
        <v>85</v>
      </c>
      <c r="AJ35" t="s">
        <v>72</v>
      </c>
      <c r="AK35">
        <v>0.33</v>
      </c>
      <c r="AL35" t="s">
        <v>72</v>
      </c>
      <c r="AM35" t="s">
        <v>77</v>
      </c>
      <c r="AN35" t="s">
        <v>297</v>
      </c>
      <c r="AO35" t="s">
        <v>314</v>
      </c>
    </row>
    <row r="36" spans="1:41" x14ac:dyDescent="0.35">
      <c r="A36" s="2" t="s">
        <v>242</v>
      </c>
      <c r="B36" s="2" t="s">
        <v>261</v>
      </c>
      <c r="C36" s="13">
        <v>45327</v>
      </c>
      <c r="D36" s="2" t="s">
        <v>271</v>
      </c>
      <c r="E36" s="2" t="s">
        <v>12</v>
      </c>
      <c r="F36" s="6">
        <v>35</v>
      </c>
      <c r="G36" s="6">
        <v>3</v>
      </c>
      <c r="H36" s="2" t="s">
        <v>77</v>
      </c>
      <c r="I36" s="2" t="s">
        <v>112</v>
      </c>
      <c r="J36" t="s">
        <v>74</v>
      </c>
      <c r="K36" t="s">
        <v>75</v>
      </c>
      <c r="L36" t="s">
        <v>90</v>
      </c>
      <c r="M36" t="s">
        <v>72</v>
      </c>
      <c r="N36" t="s">
        <v>72</v>
      </c>
      <c r="O36" t="s">
        <v>77</v>
      </c>
      <c r="P36" t="s">
        <v>277</v>
      </c>
      <c r="Q36" t="s">
        <v>278</v>
      </c>
      <c r="R36" t="s">
        <v>94</v>
      </c>
      <c r="S36" s="12">
        <v>1</v>
      </c>
      <c r="T36" s="12">
        <v>1</v>
      </c>
      <c r="U36" t="s">
        <v>72</v>
      </c>
      <c r="W36" t="s">
        <v>280</v>
      </c>
      <c r="X36" t="s">
        <v>100</v>
      </c>
      <c r="Y36" s="12">
        <v>1</v>
      </c>
      <c r="Z36" s="12">
        <v>0</v>
      </c>
      <c r="AA36" s="12">
        <v>0</v>
      </c>
      <c r="AB36" s="12">
        <v>0</v>
      </c>
      <c r="AC36" s="12" t="s">
        <v>77</v>
      </c>
      <c r="AD36" t="s">
        <v>287</v>
      </c>
      <c r="AE36" s="12">
        <v>0</v>
      </c>
      <c r="AF36" s="12">
        <v>1</v>
      </c>
      <c r="AG36" t="s">
        <v>96</v>
      </c>
      <c r="AH36" t="s">
        <v>85</v>
      </c>
      <c r="AJ36" t="s">
        <v>72</v>
      </c>
      <c r="AK36">
        <v>6</v>
      </c>
      <c r="AL36" t="s">
        <v>72</v>
      </c>
      <c r="AM36" t="s">
        <v>77</v>
      </c>
      <c r="AN36" t="s">
        <v>298</v>
      </c>
      <c r="AO36" t="s">
        <v>315</v>
      </c>
    </row>
    <row r="37" spans="1:41" x14ac:dyDescent="0.35">
      <c r="A37" s="2" t="s">
        <v>243</v>
      </c>
      <c r="B37" s="2" t="s">
        <v>262</v>
      </c>
      <c r="C37" s="13">
        <v>45328</v>
      </c>
      <c r="D37" s="2" t="s">
        <v>272</v>
      </c>
      <c r="E37" s="2" t="s">
        <v>12</v>
      </c>
      <c r="F37" s="6">
        <v>43</v>
      </c>
      <c r="G37" s="6">
        <v>3</v>
      </c>
      <c r="H37" s="2" t="s">
        <v>77</v>
      </c>
      <c r="I37" s="2" t="s">
        <v>112</v>
      </c>
      <c r="J37" t="s">
        <v>74</v>
      </c>
      <c r="K37" t="s">
        <v>75</v>
      </c>
      <c r="L37" t="s">
        <v>90</v>
      </c>
      <c r="M37" t="s">
        <v>77</v>
      </c>
      <c r="N37" t="s">
        <v>72</v>
      </c>
      <c r="O37" t="s">
        <v>77</v>
      </c>
      <c r="P37" t="s">
        <v>277</v>
      </c>
      <c r="Q37" t="s">
        <v>79</v>
      </c>
      <c r="R37" t="s">
        <v>94</v>
      </c>
      <c r="S37" s="12">
        <v>1</v>
      </c>
      <c r="T37" s="12">
        <v>1</v>
      </c>
      <c r="U37" t="s">
        <v>77</v>
      </c>
      <c r="W37" t="s">
        <v>280</v>
      </c>
      <c r="X37" t="s">
        <v>82</v>
      </c>
      <c r="Y37" s="12">
        <v>1</v>
      </c>
      <c r="Z37" s="12">
        <v>1</v>
      </c>
      <c r="AA37" s="12">
        <v>1</v>
      </c>
      <c r="AB37" s="12">
        <v>1</v>
      </c>
      <c r="AC37" s="12" t="s">
        <v>77</v>
      </c>
      <c r="AD37" t="s">
        <v>286</v>
      </c>
      <c r="AE37" s="12">
        <v>1</v>
      </c>
      <c r="AF37" s="12">
        <v>1</v>
      </c>
      <c r="AG37" t="s">
        <v>84</v>
      </c>
      <c r="AH37" t="s">
        <v>85</v>
      </c>
      <c r="AJ37" t="s">
        <v>77</v>
      </c>
      <c r="AK37">
        <v>5</v>
      </c>
      <c r="AL37" t="s">
        <v>72</v>
      </c>
      <c r="AM37" t="s">
        <v>72</v>
      </c>
      <c r="AO37" t="s">
        <v>316</v>
      </c>
    </row>
    <row r="38" spans="1:41" x14ac:dyDescent="0.35">
      <c r="A38" s="2" t="s">
        <v>244</v>
      </c>
      <c r="B38" s="2" t="s">
        <v>263</v>
      </c>
      <c r="C38" s="13">
        <v>45328</v>
      </c>
      <c r="D38" s="2" t="s">
        <v>272</v>
      </c>
      <c r="E38" s="2" t="s">
        <v>12</v>
      </c>
      <c r="F38" s="6">
        <v>29</v>
      </c>
      <c r="G38" s="6">
        <v>2</v>
      </c>
      <c r="H38" s="2" t="s">
        <v>77</v>
      </c>
      <c r="I38" s="2" t="s">
        <v>112</v>
      </c>
      <c r="J38" t="s">
        <v>74</v>
      </c>
      <c r="K38" t="s">
        <v>75</v>
      </c>
      <c r="L38" t="s">
        <v>90</v>
      </c>
      <c r="M38" t="s">
        <v>72</v>
      </c>
      <c r="N38" t="s">
        <v>72</v>
      </c>
      <c r="O38" t="s">
        <v>77</v>
      </c>
      <c r="P38" t="s">
        <v>277</v>
      </c>
      <c r="Q38" t="s">
        <v>278</v>
      </c>
      <c r="R38" t="s">
        <v>94</v>
      </c>
      <c r="S38" s="12">
        <v>1</v>
      </c>
      <c r="T38" s="12">
        <v>1</v>
      </c>
      <c r="W38" t="s">
        <v>280</v>
      </c>
      <c r="X38" t="s">
        <v>92</v>
      </c>
      <c r="Y38" s="12">
        <v>1</v>
      </c>
      <c r="Z38" s="12">
        <v>1</v>
      </c>
      <c r="AA38" s="12">
        <v>0</v>
      </c>
      <c r="AB38" s="12">
        <v>0</v>
      </c>
      <c r="AC38" s="12" t="s">
        <v>77</v>
      </c>
      <c r="AD38" t="s">
        <v>287</v>
      </c>
      <c r="AE38" s="12">
        <v>0</v>
      </c>
      <c r="AF38" s="12">
        <v>1</v>
      </c>
      <c r="AG38" t="s">
        <v>84</v>
      </c>
      <c r="AH38" t="s">
        <v>85</v>
      </c>
      <c r="AL38" t="s">
        <v>72</v>
      </c>
      <c r="AM38" t="s">
        <v>77</v>
      </c>
      <c r="AN38" t="s">
        <v>299</v>
      </c>
      <c r="AO38" t="s">
        <v>317</v>
      </c>
    </row>
    <row r="39" spans="1:41" x14ac:dyDescent="0.35">
      <c r="A39" s="2" t="s">
        <v>245</v>
      </c>
      <c r="B39" s="2" t="s">
        <v>264</v>
      </c>
      <c r="C39" s="13">
        <v>45334</v>
      </c>
      <c r="D39" s="2" t="s">
        <v>273</v>
      </c>
      <c r="E39" s="2" t="s">
        <v>165</v>
      </c>
      <c r="F39" s="6">
        <v>10</v>
      </c>
      <c r="G39" s="6">
        <v>0.66666666666666663</v>
      </c>
      <c r="H39" s="2" t="s">
        <v>72</v>
      </c>
      <c r="I39" s="2"/>
      <c r="J39" t="s">
        <v>74</v>
      </c>
      <c r="K39" t="s">
        <v>75</v>
      </c>
      <c r="L39" t="s">
        <v>90</v>
      </c>
      <c r="M39" t="s">
        <v>77</v>
      </c>
      <c r="N39" t="s">
        <v>72</v>
      </c>
      <c r="O39" t="s">
        <v>77</v>
      </c>
      <c r="P39" t="s">
        <v>277</v>
      </c>
      <c r="Q39" t="s">
        <v>79</v>
      </c>
      <c r="R39" t="s">
        <v>94</v>
      </c>
      <c r="S39" s="12">
        <v>1</v>
      </c>
      <c r="T39" s="12">
        <v>1</v>
      </c>
      <c r="W39" t="s">
        <v>280</v>
      </c>
      <c r="X39" t="s">
        <v>92</v>
      </c>
      <c r="Y39" s="12">
        <v>1</v>
      </c>
      <c r="Z39" s="12">
        <v>1</v>
      </c>
      <c r="AA39" s="12">
        <v>0</v>
      </c>
      <c r="AB39" s="12">
        <v>0</v>
      </c>
      <c r="AC39" s="12" t="s">
        <v>77</v>
      </c>
      <c r="AD39" t="s">
        <v>286</v>
      </c>
      <c r="AE39" s="12">
        <v>1</v>
      </c>
      <c r="AF39" s="12">
        <v>1</v>
      </c>
      <c r="AG39" t="s">
        <v>84</v>
      </c>
      <c r="AH39" t="s">
        <v>85</v>
      </c>
      <c r="AJ39" t="s">
        <v>77</v>
      </c>
      <c r="AK39">
        <v>1</v>
      </c>
      <c r="AL39" t="s">
        <v>72</v>
      </c>
      <c r="AM39" t="s">
        <v>77</v>
      </c>
      <c r="AN39" t="s">
        <v>300</v>
      </c>
      <c r="AO39" t="s">
        <v>318</v>
      </c>
    </row>
    <row r="40" spans="1:41" x14ac:dyDescent="0.35">
      <c r="A40" s="2" t="s">
        <v>246</v>
      </c>
      <c r="B40" s="2" t="s">
        <v>265</v>
      </c>
      <c r="C40" s="13">
        <v>45334</v>
      </c>
      <c r="D40" s="2" t="s">
        <v>274</v>
      </c>
      <c r="E40" s="2" t="s">
        <v>12</v>
      </c>
      <c r="F40" s="6">
        <v>16</v>
      </c>
      <c r="G40" s="6">
        <v>1</v>
      </c>
      <c r="H40" s="2" t="s">
        <v>77</v>
      </c>
      <c r="I40" s="2" t="s">
        <v>112</v>
      </c>
      <c r="J40" t="s">
        <v>74</v>
      </c>
      <c r="K40" t="s">
        <v>75</v>
      </c>
      <c r="L40" t="s">
        <v>90</v>
      </c>
      <c r="M40" t="s">
        <v>72</v>
      </c>
      <c r="N40" t="s">
        <v>72</v>
      </c>
      <c r="O40" t="s">
        <v>72</v>
      </c>
      <c r="Q40" t="s">
        <v>279</v>
      </c>
      <c r="R40" t="s">
        <v>94</v>
      </c>
      <c r="S40" s="12">
        <v>1</v>
      </c>
      <c r="T40" s="12">
        <v>1</v>
      </c>
      <c r="U40" t="s">
        <v>77</v>
      </c>
      <c r="W40" t="s">
        <v>280</v>
      </c>
      <c r="X40" t="s">
        <v>100</v>
      </c>
      <c r="Y40" s="12">
        <v>1</v>
      </c>
      <c r="Z40" s="12">
        <v>0</v>
      </c>
      <c r="AA40" s="12">
        <v>0</v>
      </c>
      <c r="AB40" s="12">
        <v>0</v>
      </c>
      <c r="AC40" s="12" t="s">
        <v>77</v>
      </c>
      <c r="AD40" t="s">
        <v>286</v>
      </c>
      <c r="AE40" s="12">
        <v>1</v>
      </c>
      <c r="AF40" s="12">
        <v>1</v>
      </c>
      <c r="AG40" t="s">
        <v>84</v>
      </c>
      <c r="AH40" t="s">
        <v>85</v>
      </c>
      <c r="AJ40" t="s">
        <v>77</v>
      </c>
      <c r="AK40">
        <v>1</v>
      </c>
      <c r="AL40" t="s">
        <v>72</v>
      </c>
      <c r="AM40" t="s">
        <v>77</v>
      </c>
      <c r="AN40" t="s">
        <v>298</v>
      </c>
      <c r="AO40" t="s">
        <v>319</v>
      </c>
    </row>
    <row r="41" spans="1:41" x14ac:dyDescent="0.35">
      <c r="A41" s="2" t="s">
        <v>247</v>
      </c>
      <c r="B41" s="2" t="s">
        <v>266</v>
      </c>
      <c r="C41" s="13">
        <v>45335</v>
      </c>
      <c r="D41" s="2" t="s">
        <v>271</v>
      </c>
      <c r="E41" s="2" t="s">
        <v>165</v>
      </c>
      <c r="F41" s="6">
        <v>52</v>
      </c>
      <c r="G41" s="6">
        <v>0.5</v>
      </c>
      <c r="H41" s="2" t="s">
        <v>72</v>
      </c>
      <c r="I41" s="2"/>
      <c r="J41" t="s">
        <v>74</v>
      </c>
      <c r="K41" t="s">
        <v>75</v>
      </c>
      <c r="L41" t="s">
        <v>90</v>
      </c>
      <c r="M41" t="s">
        <v>72</v>
      </c>
      <c r="N41" t="s">
        <v>72</v>
      </c>
      <c r="O41" t="s">
        <v>77</v>
      </c>
      <c r="P41" t="s">
        <v>277</v>
      </c>
      <c r="Q41" t="s">
        <v>278</v>
      </c>
      <c r="R41" t="s">
        <v>94</v>
      </c>
      <c r="S41" s="12">
        <v>1</v>
      </c>
      <c r="T41" s="12">
        <v>1</v>
      </c>
      <c r="U41" t="s">
        <v>77</v>
      </c>
      <c r="W41" t="s">
        <v>280</v>
      </c>
      <c r="X41" t="s">
        <v>100</v>
      </c>
      <c r="Y41" s="12">
        <v>1</v>
      </c>
      <c r="Z41" s="12">
        <v>0</v>
      </c>
      <c r="AA41" s="12">
        <v>0</v>
      </c>
      <c r="AB41" s="12">
        <v>0</v>
      </c>
      <c r="AC41" s="12" t="s">
        <v>77</v>
      </c>
      <c r="AD41" t="s">
        <v>287</v>
      </c>
      <c r="AE41" s="12">
        <v>0</v>
      </c>
      <c r="AF41" s="12">
        <v>1</v>
      </c>
      <c r="AG41" t="s">
        <v>84</v>
      </c>
      <c r="AH41" t="s">
        <v>85</v>
      </c>
      <c r="AJ41" t="s">
        <v>77</v>
      </c>
      <c r="AK41">
        <v>0.5</v>
      </c>
      <c r="AL41" t="s">
        <v>72</v>
      </c>
      <c r="AM41" t="s">
        <v>77</v>
      </c>
      <c r="AN41" t="s">
        <v>301</v>
      </c>
      <c r="AO41" t="s">
        <v>320</v>
      </c>
    </row>
    <row r="42" spans="1:41" x14ac:dyDescent="0.35">
      <c r="A42" s="2" t="s">
        <v>248</v>
      </c>
      <c r="B42" s="2" t="s">
        <v>267</v>
      </c>
      <c r="C42" s="13">
        <v>45335</v>
      </c>
      <c r="D42" s="2" t="s">
        <v>268</v>
      </c>
      <c r="E42" s="2" t="s">
        <v>12</v>
      </c>
      <c r="F42" s="6">
        <v>14</v>
      </c>
      <c r="G42" s="6">
        <v>0.25</v>
      </c>
      <c r="H42" s="2" t="s">
        <v>77</v>
      </c>
      <c r="I42" s="2" t="s">
        <v>112</v>
      </c>
      <c r="J42" t="s">
        <v>74</v>
      </c>
      <c r="K42" t="s">
        <v>75</v>
      </c>
      <c r="L42" t="s">
        <v>90</v>
      </c>
      <c r="M42" t="s">
        <v>72</v>
      </c>
      <c r="N42" t="s">
        <v>72</v>
      </c>
      <c r="O42" t="s">
        <v>77</v>
      </c>
      <c r="P42" t="s">
        <v>277</v>
      </c>
      <c r="Q42" t="s">
        <v>278</v>
      </c>
      <c r="R42" t="s">
        <v>94</v>
      </c>
      <c r="S42" s="12">
        <v>1</v>
      </c>
      <c r="T42" s="12">
        <v>1</v>
      </c>
      <c r="X42" t="s">
        <v>92</v>
      </c>
      <c r="Y42" s="12">
        <v>1</v>
      </c>
      <c r="Z42" s="12">
        <v>1</v>
      </c>
      <c r="AA42" s="12">
        <v>0</v>
      </c>
      <c r="AB42" s="12">
        <v>0</v>
      </c>
      <c r="AC42" s="12" t="s">
        <v>77</v>
      </c>
      <c r="AD42" t="s">
        <v>287</v>
      </c>
      <c r="AE42" s="12">
        <v>0</v>
      </c>
      <c r="AF42" s="12">
        <v>1</v>
      </c>
      <c r="AG42" t="s">
        <v>84</v>
      </c>
      <c r="AH42" t="s">
        <v>85</v>
      </c>
      <c r="AJ42" t="s">
        <v>72</v>
      </c>
      <c r="AK42">
        <v>0.33</v>
      </c>
      <c r="AL42" t="s">
        <v>72</v>
      </c>
      <c r="AM42" t="s">
        <v>77</v>
      </c>
      <c r="AN42" t="s">
        <v>302</v>
      </c>
      <c r="AO42" t="s">
        <v>321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2"/>
  <sheetViews>
    <sheetView workbookViewId="0">
      <selection activeCell="D41" sqref="D4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158</v>
      </c>
      <c r="B1" s="4" t="s">
        <v>159</v>
      </c>
      <c r="C1" s="4" t="s">
        <v>160</v>
      </c>
      <c r="D1" s="8" t="s">
        <v>200</v>
      </c>
      <c r="E1" s="8" t="s">
        <v>201</v>
      </c>
      <c r="F1" s="8" t="s">
        <v>202</v>
      </c>
      <c r="G1" s="8" t="s">
        <v>193</v>
      </c>
      <c r="H1" s="8" t="s">
        <v>203</v>
      </c>
      <c r="I1" s="8" t="s">
        <v>204</v>
      </c>
      <c r="J1" s="8" t="s">
        <v>205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17</v>
      </c>
      <c r="B6" s="7" t="s">
        <v>18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19</v>
      </c>
      <c r="B7" s="7" t="s">
        <v>20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21</v>
      </c>
      <c r="B8" s="2" t="s">
        <v>23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22</v>
      </c>
      <c r="B9" s="2" t="s">
        <v>24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28</v>
      </c>
      <c r="B10" s="7" t="s">
        <v>30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29</v>
      </c>
      <c r="B11" s="7" t="s">
        <v>31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37</v>
      </c>
      <c r="B12" s="2" t="s">
        <v>35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38</v>
      </c>
      <c r="B13" s="2" t="s">
        <v>36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39</v>
      </c>
      <c r="B14" s="2" t="s">
        <v>40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41</v>
      </c>
      <c r="B15" s="2" t="s">
        <v>42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43</v>
      </c>
      <c r="B16" s="2" t="s">
        <v>44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50</v>
      </c>
      <c r="B17" s="2" t="s">
        <v>51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53</v>
      </c>
      <c r="B18" s="2" t="s">
        <v>52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54</v>
      </c>
      <c r="B19" s="2" t="s">
        <v>57</v>
      </c>
      <c r="C19" s="13">
        <v>45085</v>
      </c>
      <c r="D19" s="5">
        <v>0</v>
      </c>
      <c r="E19" s="5">
        <v>0</v>
      </c>
      <c r="F19" s="5">
        <v>0</v>
      </c>
      <c r="G19" s="5">
        <v>0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55</v>
      </c>
      <c r="B20" s="2" t="s">
        <v>58</v>
      </c>
      <c r="C20" s="13">
        <v>45085</v>
      </c>
      <c r="D20" s="5">
        <v>0</v>
      </c>
      <c r="E20" s="5">
        <v>0</v>
      </c>
      <c r="F20" s="5">
        <v>0</v>
      </c>
      <c r="G20" s="5">
        <v>0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56</v>
      </c>
      <c r="B21" s="2" t="s">
        <v>59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64</v>
      </c>
      <c r="B22" s="2" t="s">
        <v>66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65</v>
      </c>
      <c r="B23" s="2" t="s">
        <v>67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230</v>
      </c>
      <c r="B24" s="2" t="s">
        <v>249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231</v>
      </c>
      <c r="B25" s="2" t="s">
        <v>250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232</v>
      </c>
      <c r="B26" s="2" t="s">
        <v>251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233</v>
      </c>
      <c r="B27" s="2" t="s">
        <v>252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234</v>
      </c>
      <c r="B28" s="2" t="s">
        <v>253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235</v>
      </c>
      <c r="B29" s="2" t="s">
        <v>254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236</v>
      </c>
      <c r="B30" s="2" t="s">
        <v>255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237</v>
      </c>
      <c r="B31" s="2" t="s">
        <v>256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238</v>
      </c>
      <c r="B32" s="2" t="s">
        <v>257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239</v>
      </c>
      <c r="B33" s="2" t="s">
        <v>258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240</v>
      </c>
      <c r="B34" s="2" t="s">
        <v>259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241</v>
      </c>
      <c r="B35" s="2" t="s">
        <v>260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242</v>
      </c>
      <c r="B36" s="2" t="s">
        <v>261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243</v>
      </c>
      <c r="B37" s="2" t="s">
        <v>262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244</v>
      </c>
      <c r="B38" s="2" t="s">
        <v>263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245</v>
      </c>
      <c r="B39" s="2" t="s">
        <v>264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246</v>
      </c>
      <c r="B40" s="2" t="s">
        <v>265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247</v>
      </c>
      <c r="B41" s="2" t="s">
        <v>266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248</v>
      </c>
      <c r="B42" s="2" t="s">
        <v>267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1"/>
  <sheetViews>
    <sheetView workbookViewId="0">
      <pane xSplit="3" ySplit="1" topLeftCell="D14" activePane="bottomRight" state="frozen"/>
      <selection pane="topRight" activeCell="C1" sqref="C1"/>
      <selection pane="bottomLeft" activeCell="A3" sqref="A3"/>
      <selection pane="bottomRight" activeCell="I9" sqref="I9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</cols>
  <sheetData>
    <row r="1" spans="1:7" x14ac:dyDescent="0.35">
      <c r="A1" s="8" t="s">
        <v>158</v>
      </c>
      <c r="B1" s="8" t="s">
        <v>159</v>
      </c>
      <c r="C1" s="8" t="s">
        <v>160</v>
      </c>
      <c r="D1" s="4" t="s">
        <v>154</v>
      </c>
      <c r="E1" s="4" t="s">
        <v>155</v>
      </c>
      <c r="F1" s="4" t="s">
        <v>156</v>
      </c>
      <c r="G1" s="4" t="s">
        <v>157</v>
      </c>
    </row>
    <row r="2" spans="1:7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2.636158905904523</v>
      </c>
      <c r="F2" s="10">
        <v>0</v>
      </c>
      <c r="G2" s="2">
        <v>0</v>
      </c>
    </row>
    <row r="3" spans="1:7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0.60373304087214053</v>
      </c>
      <c r="F3" s="10">
        <v>0</v>
      </c>
      <c r="G3" s="2">
        <v>0</v>
      </c>
    </row>
    <row r="4" spans="1:7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1.6219944898894096</v>
      </c>
      <c r="F4" s="10">
        <v>0</v>
      </c>
      <c r="G4" s="2">
        <v>0</v>
      </c>
    </row>
    <row r="5" spans="1:7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1.3010745781164941</v>
      </c>
      <c r="F5" s="10">
        <v>0</v>
      </c>
      <c r="G5" s="2">
        <v>0</v>
      </c>
    </row>
    <row r="6" spans="1:7" x14ac:dyDescent="0.35">
      <c r="A6" s="2" t="s">
        <v>17</v>
      </c>
      <c r="B6" s="7" t="s">
        <v>18</v>
      </c>
      <c r="C6" s="13">
        <v>45035</v>
      </c>
      <c r="D6" s="6">
        <v>2</v>
      </c>
      <c r="E6" s="5">
        <v>6.2442928261726101</v>
      </c>
      <c r="F6" s="10">
        <v>49.42965571262723</v>
      </c>
      <c r="G6" s="2">
        <v>0</v>
      </c>
    </row>
    <row r="7" spans="1:7" x14ac:dyDescent="0.35">
      <c r="A7" s="2" t="s">
        <v>19</v>
      </c>
      <c r="B7" s="7" t="s">
        <v>20</v>
      </c>
      <c r="C7" s="13">
        <v>45035</v>
      </c>
      <c r="D7" s="6">
        <f>410</f>
        <v>410</v>
      </c>
      <c r="E7" s="5">
        <v>6.9874856720334708E-2</v>
      </c>
      <c r="F7" s="10">
        <v>0</v>
      </c>
      <c r="G7" s="2">
        <v>0</v>
      </c>
    </row>
    <row r="8" spans="1:7" x14ac:dyDescent="0.35">
      <c r="A8" s="2" t="s">
        <v>21</v>
      </c>
      <c r="B8" s="2" t="s">
        <v>23</v>
      </c>
      <c r="C8" s="13">
        <v>45042</v>
      </c>
      <c r="D8" s="6">
        <v>2</v>
      </c>
      <c r="E8" s="5">
        <v>1.7547574474127787</v>
      </c>
      <c r="F8" s="10">
        <v>0</v>
      </c>
      <c r="G8" s="2">
        <v>0</v>
      </c>
    </row>
    <row r="9" spans="1:7" x14ac:dyDescent="0.35">
      <c r="A9" s="2" t="s">
        <v>22</v>
      </c>
      <c r="B9" s="2" t="s">
        <v>24</v>
      </c>
      <c r="C9" s="13">
        <v>45042</v>
      </c>
      <c r="D9" s="6">
        <v>2</v>
      </c>
      <c r="E9" s="5">
        <v>6.9684218922271048</v>
      </c>
      <c r="F9" s="10">
        <v>0</v>
      </c>
      <c r="G9" s="2">
        <v>0</v>
      </c>
    </row>
    <row r="10" spans="1:7" x14ac:dyDescent="0.35">
      <c r="A10" s="2" t="s">
        <v>28</v>
      </c>
      <c r="B10" s="7" t="s">
        <v>30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7" x14ac:dyDescent="0.35">
      <c r="A11" s="2" t="s">
        <v>29</v>
      </c>
      <c r="B11" s="7" t="s">
        <v>31</v>
      </c>
      <c r="C11" s="13">
        <v>45055</v>
      </c>
      <c r="D11" s="6">
        <v>368</v>
      </c>
      <c r="E11" s="5">
        <v>6.3242229995352298E-2</v>
      </c>
      <c r="F11" s="10">
        <v>0</v>
      </c>
      <c r="G11" s="2">
        <v>0</v>
      </c>
    </row>
    <row r="12" spans="1:7" x14ac:dyDescent="0.35">
      <c r="A12" s="2" t="s">
        <v>37</v>
      </c>
      <c r="B12" s="2" t="s">
        <v>35</v>
      </c>
      <c r="C12" s="13">
        <v>45071</v>
      </c>
      <c r="D12" s="6">
        <v>4</v>
      </c>
      <c r="E12" s="5">
        <v>3.7113810141010423E-2</v>
      </c>
      <c r="F12" s="10">
        <v>0</v>
      </c>
      <c r="G12" s="2">
        <v>0</v>
      </c>
    </row>
    <row r="13" spans="1:7" x14ac:dyDescent="0.35">
      <c r="A13" s="2" t="s">
        <v>38</v>
      </c>
      <c r="B13" s="2" t="s">
        <v>36</v>
      </c>
      <c r="C13" s="13">
        <v>45071</v>
      </c>
      <c r="D13" s="6">
        <v>2</v>
      </c>
      <c r="E13" s="5">
        <v>3.0477408485254385</v>
      </c>
      <c r="F13" s="10">
        <v>2.203290852651111</v>
      </c>
      <c r="G13" s="2">
        <v>0</v>
      </c>
    </row>
    <row r="14" spans="1:7" x14ac:dyDescent="0.35">
      <c r="A14" s="2" t="s">
        <v>39</v>
      </c>
      <c r="B14" s="2" t="s">
        <v>40</v>
      </c>
      <c r="C14" s="13">
        <v>45077</v>
      </c>
      <c r="D14" s="6">
        <v>10</v>
      </c>
      <c r="E14" s="5">
        <v>3.8736863075649837E-2</v>
      </c>
      <c r="F14" s="10">
        <v>0</v>
      </c>
      <c r="G14" s="2">
        <v>0</v>
      </c>
    </row>
    <row r="15" spans="1:7" x14ac:dyDescent="0.35">
      <c r="A15" s="2" t="s">
        <v>41</v>
      </c>
      <c r="B15" s="2" t="s">
        <v>42</v>
      </c>
      <c r="C15" s="13">
        <v>45077</v>
      </c>
      <c r="D15" s="6">
        <v>2</v>
      </c>
      <c r="E15" s="5">
        <v>14.241294116190522</v>
      </c>
      <c r="F15" s="10">
        <v>0</v>
      </c>
      <c r="G15" s="2">
        <v>0</v>
      </c>
    </row>
    <row r="16" spans="1:7" x14ac:dyDescent="0.35">
      <c r="A16" s="2" t="s">
        <v>43</v>
      </c>
      <c r="B16" s="2" t="s">
        <v>44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50</v>
      </c>
      <c r="B17" s="2" t="s">
        <v>51</v>
      </c>
      <c r="C17" s="13">
        <v>45084</v>
      </c>
      <c r="D17" s="6">
        <v>3</v>
      </c>
      <c r="E17" s="5">
        <v>3.6979108812784931</v>
      </c>
      <c r="F17" s="10">
        <v>15.913642332138245</v>
      </c>
      <c r="G17" s="2">
        <v>0</v>
      </c>
    </row>
    <row r="18" spans="1:7" x14ac:dyDescent="0.35">
      <c r="A18" s="2" t="s">
        <v>53</v>
      </c>
      <c r="B18" s="2" t="s">
        <v>52</v>
      </c>
      <c r="C18" s="13">
        <v>45084</v>
      </c>
      <c r="D18" s="6">
        <v>2</v>
      </c>
      <c r="E18" s="5">
        <v>4.5469290015537265</v>
      </c>
      <c r="F18" s="10">
        <v>0</v>
      </c>
      <c r="G18" s="2">
        <v>0</v>
      </c>
    </row>
    <row r="19" spans="1:7" x14ac:dyDescent="0.35">
      <c r="A19" s="2" t="s">
        <v>54</v>
      </c>
      <c r="B19" s="2" t="s">
        <v>57</v>
      </c>
      <c r="C19" s="13">
        <v>45085</v>
      </c>
      <c r="D19" s="6">
        <v>2</v>
      </c>
      <c r="E19" s="5">
        <v>10.370416059605184</v>
      </c>
      <c r="F19" s="10">
        <v>0</v>
      </c>
      <c r="G19" s="2">
        <v>0</v>
      </c>
    </row>
    <row r="20" spans="1:7" x14ac:dyDescent="0.35">
      <c r="A20" s="2" t="s">
        <v>55</v>
      </c>
      <c r="B20" s="2" t="s">
        <v>58</v>
      </c>
      <c r="C20" s="13">
        <v>45085</v>
      </c>
      <c r="D20" s="6">
        <v>3</v>
      </c>
      <c r="E20" s="5">
        <v>0.97299809427969042</v>
      </c>
      <c r="F20" s="10">
        <v>6.8247044192230932</v>
      </c>
      <c r="G20" s="2">
        <v>0</v>
      </c>
    </row>
    <row r="21" spans="1:7" x14ac:dyDescent="0.35">
      <c r="A21" s="2" t="s">
        <v>56</v>
      </c>
      <c r="B21" s="2" t="s">
        <v>59</v>
      </c>
      <c r="C21" s="13">
        <v>45085</v>
      </c>
      <c r="D21" s="6">
        <v>2</v>
      </c>
      <c r="E21" s="5">
        <v>1.9281240383078269</v>
      </c>
      <c r="F21" s="10">
        <v>0</v>
      </c>
      <c r="G21" s="2">
        <v>0</v>
      </c>
    </row>
    <row r="22" spans="1:7" x14ac:dyDescent="0.35">
      <c r="A22" s="2" t="s">
        <v>64</v>
      </c>
      <c r="B22" s="2" t="s">
        <v>66</v>
      </c>
      <c r="C22" s="13">
        <v>45098</v>
      </c>
      <c r="D22" s="6">
        <v>200</v>
      </c>
      <c r="E22" s="5">
        <v>0.16598108903827372</v>
      </c>
      <c r="F22" s="10">
        <v>0</v>
      </c>
      <c r="G22" s="2">
        <v>0</v>
      </c>
    </row>
    <row r="23" spans="1:7" x14ac:dyDescent="0.35">
      <c r="A23" s="2" t="s">
        <v>65</v>
      </c>
      <c r="B23" s="2" t="s">
        <v>67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230</v>
      </c>
      <c r="B24" s="2" t="s">
        <v>249</v>
      </c>
      <c r="C24" s="13">
        <v>45306</v>
      </c>
      <c r="D24" s="14">
        <v>23</v>
      </c>
      <c r="E24" s="5">
        <v>4.46</v>
      </c>
      <c r="F24" s="10">
        <v>0</v>
      </c>
      <c r="G24" s="2">
        <v>0</v>
      </c>
    </row>
    <row r="25" spans="1:7" x14ac:dyDescent="0.35">
      <c r="A25" s="2" t="s">
        <v>231</v>
      </c>
      <c r="B25" s="2" t="s">
        <v>250</v>
      </c>
      <c r="C25" s="13">
        <v>45307</v>
      </c>
      <c r="D25" s="14">
        <v>4</v>
      </c>
      <c r="E25" s="5">
        <v>2.15</v>
      </c>
      <c r="F25" s="10">
        <v>0</v>
      </c>
      <c r="G25" s="2">
        <v>0</v>
      </c>
    </row>
    <row r="26" spans="1:7" x14ac:dyDescent="0.35">
      <c r="A26" s="2" t="s">
        <v>232</v>
      </c>
      <c r="B26" s="2" t="s">
        <v>251</v>
      </c>
      <c r="C26" s="13">
        <v>45307</v>
      </c>
      <c r="D26" s="14">
        <v>5</v>
      </c>
      <c r="E26" s="5">
        <v>4.28</v>
      </c>
      <c r="F26" s="10">
        <v>0</v>
      </c>
      <c r="G26" s="2">
        <v>0</v>
      </c>
    </row>
    <row r="27" spans="1:7" x14ac:dyDescent="0.35">
      <c r="A27" s="2" t="s">
        <v>233</v>
      </c>
      <c r="B27" s="2" t="s">
        <v>252</v>
      </c>
      <c r="C27" s="13">
        <v>45307</v>
      </c>
      <c r="D27" s="14">
        <v>4</v>
      </c>
      <c r="E27" s="5">
        <v>10.96</v>
      </c>
      <c r="F27" s="10">
        <v>0</v>
      </c>
      <c r="G27" s="2">
        <v>0</v>
      </c>
    </row>
    <row r="28" spans="1:7" x14ac:dyDescent="0.35">
      <c r="A28" s="2" t="s">
        <v>234</v>
      </c>
      <c r="B28" s="2" t="s">
        <v>253</v>
      </c>
      <c r="C28" s="13">
        <v>45307</v>
      </c>
      <c r="D28" s="14">
        <v>15</v>
      </c>
      <c r="E28" s="5">
        <v>4.6900000000000004</v>
      </c>
      <c r="F28" s="10">
        <v>0</v>
      </c>
      <c r="G28" s="2">
        <v>0</v>
      </c>
    </row>
    <row r="29" spans="1:7" x14ac:dyDescent="0.35">
      <c r="A29" s="2" t="s">
        <v>235</v>
      </c>
      <c r="B29" s="2" t="s">
        <v>254</v>
      </c>
      <c r="C29" s="13">
        <v>45313</v>
      </c>
      <c r="D29" s="14">
        <v>9</v>
      </c>
      <c r="E29" s="5">
        <v>2.1</v>
      </c>
      <c r="F29" s="10">
        <v>0</v>
      </c>
      <c r="G29" s="2">
        <v>0</v>
      </c>
    </row>
    <row r="30" spans="1:7" x14ac:dyDescent="0.35">
      <c r="A30" s="2" t="s">
        <v>236</v>
      </c>
      <c r="B30" s="2" t="s">
        <v>255</v>
      </c>
      <c r="C30" s="13">
        <v>45314</v>
      </c>
      <c r="D30" s="14">
        <v>15</v>
      </c>
      <c r="E30" s="5">
        <v>1.87</v>
      </c>
      <c r="F30" s="10">
        <v>0</v>
      </c>
      <c r="G30" s="2">
        <v>0</v>
      </c>
    </row>
    <row r="31" spans="1:7" x14ac:dyDescent="0.35">
      <c r="A31" s="2" t="s">
        <v>237</v>
      </c>
      <c r="B31" s="2" t="s">
        <v>256</v>
      </c>
      <c r="C31" s="13">
        <v>45320</v>
      </c>
      <c r="D31" s="14">
        <v>14</v>
      </c>
      <c r="E31" s="5">
        <v>0.46</v>
      </c>
      <c r="F31" s="10">
        <v>0</v>
      </c>
      <c r="G31" s="2">
        <v>0</v>
      </c>
    </row>
    <row r="32" spans="1:7" x14ac:dyDescent="0.35">
      <c r="A32" s="2" t="s">
        <v>238</v>
      </c>
      <c r="B32" s="2" t="s">
        <v>257</v>
      </c>
      <c r="C32" s="13">
        <v>45320</v>
      </c>
      <c r="D32" s="14">
        <v>35</v>
      </c>
      <c r="E32" s="5">
        <v>0.2</v>
      </c>
      <c r="F32" s="10">
        <v>0</v>
      </c>
      <c r="G32" s="2">
        <v>0</v>
      </c>
    </row>
    <row r="33" spans="1:7" x14ac:dyDescent="0.35">
      <c r="A33" s="2" t="s">
        <v>239</v>
      </c>
      <c r="B33" s="2" t="s">
        <v>258</v>
      </c>
      <c r="C33" s="13">
        <v>45321</v>
      </c>
      <c r="D33" s="14">
        <v>30</v>
      </c>
      <c r="E33" s="5">
        <v>3.4</v>
      </c>
      <c r="F33" s="10">
        <v>32.200000000000003</v>
      </c>
      <c r="G33" s="2">
        <v>0</v>
      </c>
    </row>
    <row r="34" spans="1:7" x14ac:dyDescent="0.35">
      <c r="A34" s="2" t="s">
        <v>240</v>
      </c>
      <c r="B34" s="2" t="s">
        <v>259</v>
      </c>
      <c r="C34" s="13">
        <v>45321</v>
      </c>
      <c r="D34" s="14">
        <v>30</v>
      </c>
      <c r="E34" s="5">
        <v>1.19</v>
      </c>
      <c r="F34" s="10">
        <v>1.1000000000000001</v>
      </c>
      <c r="G34" s="2">
        <v>0</v>
      </c>
    </row>
    <row r="35" spans="1:7" x14ac:dyDescent="0.35">
      <c r="A35" s="2" t="s">
        <v>241</v>
      </c>
      <c r="B35" s="2" t="s">
        <v>260</v>
      </c>
      <c r="C35" s="13">
        <v>45321</v>
      </c>
      <c r="D35" s="14">
        <v>88</v>
      </c>
      <c r="E35" s="5">
        <v>7.98</v>
      </c>
      <c r="F35" s="10">
        <v>0.9</v>
      </c>
      <c r="G35" s="2">
        <v>0</v>
      </c>
    </row>
    <row r="36" spans="1:7" x14ac:dyDescent="0.35">
      <c r="A36" s="2" t="s">
        <v>242</v>
      </c>
      <c r="B36" s="2" t="s">
        <v>261</v>
      </c>
      <c r="C36" s="13">
        <v>45327</v>
      </c>
      <c r="D36" s="14">
        <v>35</v>
      </c>
      <c r="E36" s="5">
        <v>1.44</v>
      </c>
      <c r="F36" s="10">
        <v>0</v>
      </c>
      <c r="G36" s="2">
        <v>0</v>
      </c>
    </row>
    <row r="37" spans="1:7" x14ac:dyDescent="0.35">
      <c r="A37" s="2" t="s">
        <v>243</v>
      </c>
      <c r="B37" s="2" t="s">
        <v>262</v>
      </c>
      <c r="C37" s="13">
        <v>45328</v>
      </c>
      <c r="D37" s="14">
        <v>43</v>
      </c>
      <c r="E37" s="5">
        <v>0.9</v>
      </c>
      <c r="F37" s="10">
        <v>0</v>
      </c>
      <c r="G37" s="2">
        <v>0</v>
      </c>
    </row>
    <row r="38" spans="1:7" x14ac:dyDescent="0.35">
      <c r="A38" s="2" t="s">
        <v>244</v>
      </c>
      <c r="B38" s="2" t="s">
        <v>263</v>
      </c>
      <c r="C38" s="13">
        <v>45328</v>
      </c>
      <c r="D38" s="14">
        <v>29</v>
      </c>
      <c r="E38" s="5">
        <v>1.45</v>
      </c>
      <c r="F38" s="10">
        <v>1</v>
      </c>
      <c r="G38" s="2">
        <v>0</v>
      </c>
    </row>
    <row r="39" spans="1:7" x14ac:dyDescent="0.35">
      <c r="A39" s="2" t="s">
        <v>245</v>
      </c>
      <c r="B39" s="2" t="s">
        <v>264</v>
      </c>
      <c r="C39" s="13">
        <v>45334</v>
      </c>
      <c r="D39" s="14">
        <v>10</v>
      </c>
      <c r="E39" s="5">
        <v>0</v>
      </c>
      <c r="F39" s="10">
        <v>1.6</v>
      </c>
      <c r="G39" s="2">
        <v>0</v>
      </c>
    </row>
    <row r="40" spans="1:7" x14ac:dyDescent="0.35">
      <c r="A40" s="2" t="s">
        <v>246</v>
      </c>
      <c r="B40" s="2" t="s">
        <v>265</v>
      </c>
      <c r="C40" s="13">
        <v>45334</v>
      </c>
      <c r="D40" s="14">
        <v>16</v>
      </c>
      <c r="E40" s="5">
        <v>3.04</v>
      </c>
      <c r="F40" s="10">
        <v>1.8</v>
      </c>
      <c r="G40" s="2">
        <v>0</v>
      </c>
    </row>
    <row r="41" spans="1:7" x14ac:dyDescent="0.35">
      <c r="A41" s="2" t="s">
        <v>247</v>
      </c>
      <c r="B41" s="2" t="s">
        <v>266</v>
      </c>
      <c r="C41" s="13">
        <v>45335</v>
      </c>
      <c r="D41" s="14">
        <v>52</v>
      </c>
      <c r="E41" s="5">
        <v>1.41</v>
      </c>
      <c r="F41" s="10">
        <v>1.1000000000000001</v>
      </c>
      <c r="G41" s="2">
        <v>0</v>
      </c>
    </row>
    <row r="42" spans="1:7" x14ac:dyDescent="0.35">
      <c r="A42" s="2" t="s">
        <v>248</v>
      </c>
      <c r="B42" s="2" t="s">
        <v>267</v>
      </c>
      <c r="C42" s="13">
        <v>45335</v>
      </c>
      <c r="D42" s="14">
        <v>14</v>
      </c>
      <c r="E42" s="5">
        <v>0.49</v>
      </c>
      <c r="F42" s="10">
        <v>0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2"/>
  <sheetViews>
    <sheetView tabSelected="1" workbookViewId="0">
      <pane xSplit="3" ySplit="1" topLeftCell="H80" activePane="bottomRight" state="frozen"/>
      <selection pane="topRight" activeCell="C1" sqref="C1"/>
      <selection pane="bottomLeft" activeCell="A3" sqref="A3"/>
      <selection pane="bottomRight" activeCell="A25" sqref="A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158</v>
      </c>
      <c r="B1" s="8" t="s">
        <v>159</v>
      </c>
      <c r="C1" s="8" t="s">
        <v>160</v>
      </c>
      <c r="D1" s="8" t="s">
        <v>206</v>
      </c>
      <c r="E1" s="9" t="s">
        <v>201</v>
      </c>
      <c r="F1" s="8" t="s">
        <v>208</v>
      </c>
      <c r="G1" s="8" t="s">
        <v>207</v>
      </c>
      <c r="H1" s="8" t="s">
        <v>0</v>
      </c>
      <c r="I1" s="8" t="s">
        <v>210</v>
      </c>
      <c r="J1" s="8" t="s">
        <v>209</v>
      </c>
      <c r="K1" s="15" t="s">
        <v>211</v>
      </c>
      <c r="L1" s="15" t="s">
        <v>215</v>
      </c>
      <c r="M1" s="15" t="s">
        <v>212</v>
      </c>
      <c r="N1" s="15" t="s">
        <v>214</v>
      </c>
      <c r="O1" s="15" t="s">
        <v>213</v>
      </c>
      <c r="P1" s="15" t="s">
        <v>216</v>
      </c>
      <c r="Q1" s="15" t="s">
        <v>217</v>
      </c>
      <c r="R1" s="15" t="s">
        <v>218</v>
      </c>
      <c r="S1" s="15" t="s">
        <v>219</v>
      </c>
      <c r="T1" s="15" t="s">
        <v>220</v>
      </c>
      <c r="U1" s="15" t="s">
        <v>221</v>
      </c>
      <c r="V1" s="15" t="s">
        <v>222</v>
      </c>
      <c r="W1" s="4" t="s">
        <v>225</v>
      </c>
      <c r="X1" s="4" t="s">
        <v>226</v>
      </c>
      <c r="Y1" s="4" t="s">
        <v>227</v>
      </c>
      <c r="Z1" s="4" t="s">
        <v>223</v>
      </c>
      <c r="AA1" s="4" t="s">
        <v>224</v>
      </c>
      <c r="AB1" s="4" t="s">
        <v>228</v>
      </c>
      <c r="AC1" s="4" t="s">
        <v>229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119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120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121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122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123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124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17</v>
      </c>
      <c r="B14" s="2" t="s">
        <v>18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125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17</v>
      </c>
      <c r="B15" s="2" t="s">
        <v>18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126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17</v>
      </c>
      <c r="B16" s="2" t="s">
        <v>18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127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19</v>
      </c>
      <c r="B17" s="2" t="s">
        <v>20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19</v>
      </c>
      <c r="B18" s="2" t="s">
        <v>20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19</v>
      </c>
      <c r="B19" s="2" t="s">
        <v>20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21</v>
      </c>
      <c r="B20" s="2" t="s">
        <v>23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21</v>
      </c>
      <c r="B21" s="2" t="s">
        <v>23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21</v>
      </c>
      <c r="B22" s="2" t="s">
        <v>23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22</v>
      </c>
      <c r="B23" s="2" t="s">
        <v>24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22</v>
      </c>
      <c r="B24" s="2" t="s">
        <v>24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22</v>
      </c>
      <c r="B25" s="2" t="s">
        <v>24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28</v>
      </c>
      <c r="B26" s="2" t="s">
        <v>30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28</v>
      </c>
      <c r="B27" s="2" t="s">
        <v>30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28</v>
      </c>
      <c r="B28" s="2" t="s">
        <v>30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29</v>
      </c>
      <c r="B29" s="2" t="s">
        <v>31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128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29</v>
      </c>
      <c r="B30" s="2" t="s">
        <v>31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129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29</v>
      </c>
      <c r="B31" s="2" t="s">
        <v>31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130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37</v>
      </c>
      <c r="B32" s="2" t="s">
        <v>35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38</v>
      </c>
      <c r="B33" s="2" t="s">
        <v>36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38</v>
      </c>
      <c r="B34" s="2" t="s">
        <v>36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38</v>
      </c>
      <c r="B35" s="2" t="s">
        <v>36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39</v>
      </c>
      <c r="B36" s="2" t="s">
        <v>40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131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39</v>
      </c>
      <c r="B37" s="2" t="s">
        <v>40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132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39</v>
      </c>
      <c r="B38" s="2" t="s">
        <v>40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133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41</v>
      </c>
      <c r="B39" s="2" t="s">
        <v>42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139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41</v>
      </c>
      <c r="B40" s="2" t="s">
        <v>42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140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41</v>
      </c>
      <c r="B41" s="2" t="s">
        <v>42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141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43</v>
      </c>
      <c r="B42" s="2" t="s">
        <v>44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43</v>
      </c>
      <c r="B43" s="2" t="s">
        <v>44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142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43</v>
      </c>
      <c r="B44" s="2" t="s">
        <v>44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143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50</v>
      </c>
      <c r="B45" s="2" t="s">
        <v>51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144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50</v>
      </c>
      <c r="B46" s="2" t="s">
        <v>51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145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50</v>
      </c>
      <c r="B47" s="2" t="s">
        <v>51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146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53</v>
      </c>
      <c r="B48" s="2" t="s">
        <v>52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147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53</v>
      </c>
      <c r="B49" s="2" t="s">
        <v>52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53</v>
      </c>
      <c r="B50" s="2" t="s">
        <v>52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148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54</v>
      </c>
      <c r="B51" s="2" t="s">
        <v>57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149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54</v>
      </c>
      <c r="B52" s="2" t="s">
        <v>57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150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54</v>
      </c>
      <c r="B53" s="2" t="s">
        <v>57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151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55</v>
      </c>
      <c r="B54" s="2" t="s">
        <v>58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152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56</v>
      </c>
      <c r="B55" s="2" t="s">
        <v>59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153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56</v>
      </c>
      <c r="B56" s="2" t="s">
        <v>59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56</v>
      </c>
      <c r="B57" s="2" t="s">
        <v>59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64</v>
      </c>
      <c r="B58" s="2" t="s">
        <v>66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134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64</v>
      </c>
      <c r="B59" s="2" t="s">
        <v>66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135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64</v>
      </c>
      <c r="B60" s="2" t="s">
        <v>66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136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65</v>
      </c>
      <c r="B61" s="2" t="s">
        <v>67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137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65</v>
      </c>
      <c r="B62" s="2" t="s">
        <v>67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138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65</v>
      </c>
      <c r="B63" s="2" t="s">
        <v>67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230</v>
      </c>
      <c r="B64" s="2" t="s">
        <v>249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324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230</v>
      </c>
      <c r="B65" s="2" t="s">
        <v>249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325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230</v>
      </c>
      <c r="B66" s="2" t="s">
        <v>249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231</v>
      </c>
      <c r="B67" s="2" t="s">
        <v>250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326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231</v>
      </c>
      <c r="B68" s="2" t="s">
        <v>250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327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231</v>
      </c>
      <c r="B69" s="2" t="s">
        <v>250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328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232</v>
      </c>
      <c r="B70" s="2" t="s">
        <v>251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329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232</v>
      </c>
      <c r="B71" s="2" t="s">
        <v>251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330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232</v>
      </c>
      <c r="B72" s="2" t="s">
        <v>251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331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233</v>
      </c>
      <c r="B73" s="2" t="s">
        <v>252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332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233</v>
      </c>
      <c r="B74" s="2" t="s">
        <v>252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333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233</v>
      </c>
      <c r="B75" s="2" t="s">
        <v>252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334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234</v>
      </c>
      <c r="B76" s="2" t="s">
        <v>253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335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234</v>
      </c>
      <c r="B77" s="2" t="s">
        <v>253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336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234</v>
      </c>
      <c r="B78" s="2" t="s">
        <v>253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337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235</v>
      </c>
      <c r="B79" s="2" t="s">
        <v>254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338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235</v>
      </c>
      <c r="B80" s="2" t="s">
        <v>254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339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235</v>
      </c>
      <c r="B81" s="2" t="s">
        <v>254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340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236</v>
      </c>
      <c r="B82" s="2" t="s">
        <v>255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341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236</v>
      </c>
      <c r="B83" s="2" t="s">
        <v>255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342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236</v>
      </c>
      <c r="B84" s="2" t="s">
        <v>255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343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237</v>
      </c>
      <c r="B85" s="2" t="s">
        <v>256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344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237</v>
      </c>
      <c r="B86" s="2" t="s">
        <v>256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345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237</v>
      </c>
      <c r="B87" s="2" t="s">
        <v>256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238</v>
      </c>
      <c r="B88" s="2" t="s">
        <v>257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346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238</v>
      </c>
      <c r="B89" s="2" t="s">
        <v>257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347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238</v>
      </c>
      <c r="B90" s="2" t="s">
        <v>257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239</v>
      </c>
      <c r="B91" s="2" t="s">
        <v>258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348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239</v>
      </c>
      <c r="B92" s="2" t="s">
        <v>258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349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239</v>
      </c>
      <c r="B93" s="2" t="s">
        <v>258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350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240</v>
      </c>
      <c r="B94" s="2" t="s">
        <v>259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351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240</v>
      </c>
      <c r="B95" s="2" t="s">
        <v>259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352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240</v>
      </c>
      <c r="B96" s="2" t="s">
        <v>259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353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241</v>
      </c>
      <c r="B97" s="2" t="s">
        <v>260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354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241</v>
      </c>
      <c r="B98" s="2" t="s">
        <v>260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355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241</v>
      </c>
      <c r="B99" s="2" t="s">
        <v>260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242</v>
      </c>
      <c r="B100" s="2" t="s">
        <v>261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356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242</v>
      </c>
      <c r="B101" s="2" t="s">
        <v>261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357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242</v>
      </c>
      <c r="B102" s="2" t="s">
        <v>261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243</v>
      </c>
      <c r="B103" s="2" t="s">
        <v>262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358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243</v>
      </c>
      <c r="B104" s="2" t="s">
        <v>262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145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243</v>
      </c>
      <c r="B105" s="2" t="s">
        <v>262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359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244</v>
      </c>
      <c r="B106" s="2" t="s">
        <v>263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360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244</v>
      </c>
      <c r="B107" s="2" t="s">
        <v>263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361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244</v>
      </c>
      <c r="B108" s="2" t="s">
        <v>263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245</v>
      </c>
      <c r="B109" s="2" t="s">
        <v>264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362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245</v>
      </c>
      <c r="B110" s="2" t="s">
        <v>264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363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245</v>
      </c>
      <c r="B111" s="2" t="s">
        <v>264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364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246</v>
      </c>
      <c r="B112" s="2" t="s">
        <v>265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365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246</v>
      </c>
      <c r="B113" s="2" t="s">
        <v>265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366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246</v>
      </c>
      <c r="B114" s="2" t="s">
        <v>265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367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322</v>
      </c>
      <c r="B115" s="2" t="s">
        <v>266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368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322</v>
      </c>
      <c r="B116" s="2" t="s">
        <v>266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369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322</v>
      </c>
      <c r="B117" s="2" t="s">
        <v>266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370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323</v>
      </c>
      <c r="B118" s="2" t="s">
        <v>267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323</v>
      </c>
      <c r="B119" s="2" t="s">
        <v>267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371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323</v>
      </c>
      <c r="B120" s="2" t="s">
        <v>267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372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2024-07-09T07:10:49Z</dcterms:modified>
</cp:coreProperties>
</file>